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asificación" state="visible" r:id="rId4"/>
    <sheet sheetId="2" name="Jornada 1" state="visible" r:id="rId5"/>
    <sheet sheetId="3" name="Jornada 2" state="visible" r:id="rId6"/>
    <sheet sheetId="4" name="Jornada 3" state="visible" r:id="rId7"/>
    <sheet sheetId="5" name="32avos" state="visible" r:id="rId8"/>
    <sheet sheetId="6" name="octavos" state="visible" r:id="rId9"/>
    <sheet sheetId="7" name="cuartos" state="visible" r:id="rId10"/>
    <sheet sheetId="8" name="semis" state="visible" r:id="rId11"/>
    <sheet sheetId="9" name="final" state="visible" r:id="rId12"/>
    <sheet sheetId="10" name="Apuestas Extra" state="visible" r:id="rId13"/>
    <sheet sheetId="11" name="LÉEME (admin)" state="visible" r:id="rId14"/>
  </sheets>
  <calcPr calcId="171027"/>
</workbook>
</file>

<file path=xl/sharedStrings.xml><?xml version="1.0" encoding="utf-8"?>
<sst xmlns="http://schemas.openxmlformats.org/spreadsheetml/2006/main" count="665" uniqueCount="128">
  <si>
    <t>CLASIFICACIÓN GENERAL · PORRA MUNDIAL 2026</t>
  </si>
  <si>
    <t>Puesto</t>
  </si>
  <si>
    <t>Jugador</t>
  </si>
  <si>
    <t>J1</t>
  </si>
  <si>
    <t>J2</t>
  </si>
  <si>
    <t>J3</t>
  </si>
  <si>
    <t>32avos</t>
  </si>
  <si>
    <t>8vos</t>
  </si>
  <si>
    <t>4tos</t>
  </si>
  <si>
    <t>Semis</t>
  </si>
  <si>
    <t>Final</t>
  </si>
  <si>
    <t>Σ Partidos</t>
  </si>
  <si>
    <t>Extra</t>
  </si>
  <si>
    <t>Bono</t>
  </si>
  <si>
    <t>TOTAL</t>
  </si>
  <si>
    <t>Jugador 1</t>
  </si>
  <si>
    <t>Jugador 2</t>
  </si>
  <si>
    <t>Jugador 3</t>
  </si>
  <si>
    <t>Jugador 4</t>
  </si>
  <si>
    <t>Jugador 5</t>
  </si>
  <si>
    <t>Jugador 6</t>
  </si>
  <si>
    <t>Estado de entregas:</t>
  </si>
  <si>
    <t>Jugador 1: J1, J2, J3, 32avos, octavos, cuartos, semis, final + Extra</t>
  </si>
  <si>
    <t>Jugador 2: J1, J2, J3, 32avos, octavos, cuartos, semis + Extra</t>
  </si>
  <si>
    <t>Jugador 3: J1, J2, J3, 32avos, octavos, cuartos, semis, final + Extra</t>
  </si>
  <si>
    <t>Jugador 4: J1, J2, J3, 32avos, octavos, cuartos, semis, final + Extra</t>
  </si>
  <si>
    <t>Jugador 5: J1, J2, J3, 32avos, octavos, cuartos, semis, final + Extra</t>
  </si>
  <si>
    <t>Jugador 6: 32avos, octavos, cuartos, semis</t>
  </si>
  <si>
    <t>PARTIDO</t>
  </si>
  <si>
    <t>RESULTADO REAL</t>
  </si>
  <si>
    <t>Nº</t>
  </si>
  <si>
    <t>Grupo</t>
  </si>
  <si>
    <t>LOCAL</t>
  </si>
  <si>
    <t>VISITANTE</t>
  </si>
  <si>
    <t>GL</t>
  </si>
  <si>
    <t>GV</t>
  </si>
  <si>
    <t>Pts</t>
  </si>
  <si>
    <t>A</t>
  </si>
  <si>
    <t>México</t>
  </si>
  <si>
    <t>Sudáfrica</t>
  </si>
  <si>
    <t>Corea del Sur</t>
  </si>
  <si>
    <t>República Checa</t>
  </si>
  <si>
    <t>B</t>
  </si>
  <si>
    <t>Canadá</t>
  </si>
  <si>
    <t>Bosnia y Herzegovina</t>
  </si>
  <si>
    <t>Catar</t>
  </si>
  <si>
    <t>Suiza</t>
  </si>
  <si>
    <t>C</t>
  </si>
  <si>
    <t>Brasil</t>
  </si>
  <si>
    <t>Marruecos</t>
  </si>
  <si>
    <t>Haití</t>
  </si>
  <si>
    <t>Escocia</t>
  </si>
  <si>
    <t>D</t>
  </si>
  <si>
    <t>Estados Unidos</t>
  </si>
  <si>
    <t>Paraguay</t>
  </si>
  <si>
    <t>Australia</t>
  </si>
  <si>
    <t>Turquía</t>
  </si>
  <si>
    <t>E</t>
  </si>
  <si>
    <t>Alemania</t>
  </si>
  <si>
    <t>Curazao</t>
  </si>
  <si>
    <t>Costa de Marfil</t>
  </si>
  <si>
    <t>Ecuador</t>
  </si>
  <si>
    <t>F</t>
  </si>
  <si>
    <t>Países Bajos</t>
  </si>
  <si>
    <t>Japón</t>
  </si>
  <si>
    <t>Suecia</t>
  </si>
  <si>
    <t>Túnez</t>
  </si>
  <si>
    <t>G</t>
  </si>
  <si>
    <t>Bélgica</t>
  </si>
  <si>
    <t>Egipto</t>
  </si>
  <si>
    <t>Irán</t>
  </si>
  <si>
    <t>Nueva Zelanda</t>
  </si>
  <si>
    <t>H</t>
  </si>
  <si>
    <t>España</t>
  </si>
  <si>
    <t>Cabo Verde</t>
  </si>
  <si>
    <t>Arabia Saudita</t>
  </si>
  <si>
    <t>Uruguay</t>
  </si>
  <si>
    <t>I</t>
  </si>
  <si>
    <t>Francia</t>
  </si>
  <si>
    <t>Senegal</t>
  </si>
  <si>
    <t>Irak</t>
  </si>
  <si>
    <t>Noruega</t>
  </si>
  <si>
    <t>J</t>
  </si>
  <si>
    <t>Argentina</t>
  </si>
  <si>
    <t>Argelia</t>
  </si>
  <si>
    <t>Austria</t>
  </si>
  <si>
    <t>Jordania</t>
  </si>
  <si>
    <t>K</t>
  </si>
  <si>
    <t>Portugal</t>
  </si>
  <si>
    <t>RD Congo</t>
  </si>
  <si>
    <t>Uzbekistán</t>
  </si>
  <si>
    <t>Colombia</t>
  </si>
  <si>
    <t>L</t>
  </si>
  <si>
    <t>Inglaterra</t>
  </si>
  <si>
    <t>Croacia</t>
  </si>
  <si>
    <t>Ghana</t>
  </si>
  <si>
    <t>Panamá</t>
  </si>
  <si>
    <t>PUNTOS JORNADA</t>
  </si>
  <si>
    <t/>
  </si>
  <si>
    <t>APUESTAS EXTRA  (1 punto por acierto · se resuelven al final del torneo)</t>
  </si>
  <si>
    <t>Concepto</t>
  </si>
  <si>
    <t>REAL (admin)</t>
  </si>
  <si>
    <t>Máximo goleador</t>
  </si>
  <si>
    <t>Mbappe</t>
  </si>
  <si>
    <t>Lamine Yamal</t>
  </si>
  <si>
    <t xml:space="preserve">Kane </t>
  </si>
  <si>
    <t>MVP del torneo</t>
  </si>
  <si>
    <t>Vitinha</t>
  </si>
  <si>
    <t>Olise</t>
  </si>
  <si>
    <t>Campeón</t>
  </si>
  <si>
    <t>Finalista 1</t>
  </si>
  <si>
    <t>Finalista 2</t>
  </si>
  <si>
    <t xml:space="preserve">Portugal </t>
  </si>
  <si>
    <t>PUNTOS EXTRA POR JUGADOR</t>
  </si>
  <si>
    <t>PORRA MUNDIAL 2026 · EXCEL GENERAL (administrador)</t>
  </si>
  <si>
    <t>COMO USARLO:</t>
  </si>
  <si>
    <t>1) Cuando termine una jornada, ve a la hoja 'Jornada 1/2/3' (o 32avos/8vos/4tos) y rellena las</t>
  </si>
  <si>
    <t xml:space="preserve">   columnas amarillas GL y GV (goles reales) de cada partido.</t>
  </si>
  <si>
    <t>2) Los puntos de cada jugador se calculan SOLOS (columna 'Pts').</t>
  </si>
  <si>
    <t>3) La hoja 'Clasificación' se actualiza automaticamente.</t>
  </si>
  <si>
    <t>PUNTUACION (regla euro):</t>
  </si>
  <si>
    <t xml:space="preserve">  · 1 punto = aciertas el ganador (o el empate).</t>
  </si>
  <si>
    <t xml:space="preserve">  · 2 puntos = aciertas el resultado EXACTO.</t>
  </si>
  <si>
    <t xml:space="preserve">  · +1 por máximo goleador · +1 MVP · +1 campeón · +1 por cada finalista.</t>
  </si>
  <si>
    <t>APUESTAS EXTRA: en la hoja 'Apuestas Extra', columna 'REAL (admin)',</t>
  </si>
  <si>
    <t xml:space="preserve">  escribe el goleador, MVP, campeón y los 2 finalistas reales al acabar.</t>
  </si>
  <si>
    <t>REGENERAR: la fuente de verdad es porra_data.json. Este PC no tiene Python,</t>
  </si>
  <si>
    <t xml:space="preserve">  asi que el Excel se regenera con:  node generar_general.js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</si>
</sst>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1F4E78"/>
      <sz val="13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14" customWidth="1"/>
    <col min="3" max="14" width="11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x14ac:dyDescent="0.25">
      <c r="A3" s="3">
        <f>RANK(N3,$N$3:$N$8)</f>
      </c>
      <c r="B3" s="4" t="s">
        <v>15</v>
      </c>
      <c r="C3" s="5">
        <f>SUM('Jornada 1'!I3:I26)</f>
      </c>
      <c r="D3" s="5">
        <f>SUM('Jornada 2'!I3:I26)</f>
      </c>
      <c r="E3" s="5">
        <f>SUM('Jornada 3'!I3:I26)</f>
      </c>
      <c r="F3" s="5">
        <f>SUM('32avos'!I3:I18)</f>
      </c>
      <c r="G3" s="5">
        <f>SUM('octavos'!I3:I10)</f>
      </c>
      <c r="H3" s="5">
        <f>SUM('cuartos'!I3:I6)</f>
      </c>
      <c r="I3" s="5">
        <f>SUM('semis'!I3:I4)</f>
      </c>
      <c r="J3" s="5">
        <f>SUM('final'!I3:I3)</f>
      </c>
      <c r="K3" s="5">
        <f>SUM(C3:J3)</f>
      </c>
      <c r="L3" s="5">
        <f>'Apuestas Extra'!B10</f>
      </c>
      <c r="M3" s="5">
        <v>0</v>
      </c>
      <c r="N3" s="6">
        <f>K3+L3+M3</f>
      </c>
    </row>
    <row r="4" spans="1:14" x14ac:dyDescent="0.25">
      <c r="A4" s="3">
        <f>RANK(N4,$N$3:$N$8)</f>
      </c>
      <c r="B4" s="4" t="s">
        <v>16</v>
      </c>
      <c r="C4" s="5">
        <f>SUM('Jornada 1'!L3:L26)</f>
      </c>
      <c r="D4" s="5">
        <f>SUM('Jornada 2'!L3:L26)</f>
      </c>
      <c r="E4" s="5">
        <f>SUM('Jornada 3'!L3:L26)</f>
      </c>
      <c r="F4" s="5">
        <f>SUM('32avos'!L3:L18)</f>
      </c>
      <c r="G4" s="5">
        <f>SUM('octavos'!L3:L10)</f>
      </c>
      <c r="H4" s="5">
        <f>SUM('cuartos'!L3:L6)</f>
      </c>
      <c r="I4" s="5">
        <f>SUM('semis'!L3:L4)</f>
      </c>
      <c r="J4" s="5">
        <f>SUM('final'!L3:L3)</f>
      </c>
      <c r="K4" s="5">
        <f>SUM(C4:J4)</f>
      </c>
      <c r="L4" s="5">
        <f>'Apuestas Extra'!B11</f>
      </c>
      <c r="M4" s="5">
        <v>0</v>
      </c>
      <c r="N4" s="6">
        <f>K4+L4+M4</f>
      </c>
    </row>
    <row r="5" spans="1:14" x14ac:dyDescent="0.25">
      <c r="A5" s="3">
        <f>RANK(N5,$N$3:$N$8)</f>
      </c>
      <c r="B5" s="4" t="s">
        <v>17</v>
      </c>
      <c r="C5" s="5">
        <f>SUM('Jornada 1'!O3:O26)</f>
      </c>
      <c r="D5" s="5">
        <f>SUM('Jornada 2'!O3:O26)</f>
      </c>
      <c r="E5" s="5">
        <f>SUM('Jornada 3'!O3:O26)</f>
      </c>
      <c r="F5" s="5">
        <f>SUM('32avos'!O3:O18)</f>
      </c>
      <c r="G5" s="5">
        <f>SUM('octavos'!O3:O10)</f>
      </c>
      <c r="H5" s="5">
        <f>SUM('cuartos'!O3:O6)</f>
      </c>
      <c r="I5" s="5">
        <f>SUM('semis'!O3:O4)</f>
      </c>
      <c r="J5" s="5">
        <f>SUM('final'!O3:O3)</f>
      </c>
      <c r="K5" s="5">
        <f>SUM(C5:J5)</f>
      </c>
      <c r="L5" s="5">
        <f>'Apuestas Extra'!B12</f>
      </c>
      <c r="M5" s="5">
        <v>0</v>
      </c>
      <c r="N5" s="6">
        <f>K5+L5+M5</f>
      </c>
    </row>
    <row r="6" spans="1:14" x14ac:dyDescent="0.25">
      <c r="A6" s="3">
        <f>RANK(N6,$N$3:$N$8)</f>
      </c>
      <c r="B6" s="4" t="s">
        <v>18</v>
      </c>
      <c r="C6" s="5">
        <f>SUM('Jornada 1'!R3:R26)</f>
      </c>
      <c r="D6" s="5">
        <f>SUM('Jornada 2'!R3:R26)</f>
      </c>
      <c r="E6" s="5">
        <f>SUM('Jornada 3'!R3:R26)</f>
      </c>
      <c r="F6" s="5">
        <f>SUM('32avos'!R3:R18)</f>
      </c>
      <c r="G6" s="5">
        <f>SUM('octavos'!R3:R10)</f>
      </c>
      <c r="H6" s="5">
        <f>SUM('cuartos'!R3:R6)</f>
      </c>
      <c r="I6" s="5">
        <f>SUM('semis'!R3:R4)</f>
      </c>
      <c r="J6" s="5">
        <f>SUM('final'!R3:R3)</f>
      </c>
      <c r="K6" s="5">
        <f>SUM(C6:J6)</f>
      </c>
      <c r="L6" s="5">
        <f>'Apuestas Extra'!B13</f>
      </c>
      <c r="M6" s="5">
        <v>0</v>
      </c>
      <c r="N6" s="6">
        <f>K6+L6+M6</f>
      </c>
    </row>
    <row r="7" spans="1:14" x14ac:dyDescent="0.25">
      <c r="A7" s="3">
        <f>RANK(N7,$N$3:$N$8)</f>
      </c>
      <c r="B7" s="4" t="s">
        <v>19</v>
      </c>
      <c r="C7" s="5">
        <f>SUM('Jornada 1'!U3:U26)</f>
      </c>
      <c r="D7" s="5">
        <f>SUM('Jornada 2'!U3:U26)</f>
      </c>
      <c r="E7" s="5">
        <f>SUM('Jornada 3'!U3:U26)</f>
      </c>
      <c r="F7" s="5">
        <f>SUM('32avos'!U3:U18)</f>
      </c>
      <c r="G7" s="5">
        <f>SUM('octavos'!U3:U10)</f>
      </c>
      <c r="H7" s="5">
        <f>SUM('cuartos'!U3:U6)</f>
      </c>
      <c r="I7" s="5">
        <f>SUM('semis'!U3:U4)</f>
      </c>
      <c r="J7" s="5">
        <f>SUM('final'!U3:U3)</f>
      </c>
      <c r="K7" s="5">
        <f>SUM(C7:J7)</f>
      </c>
      <c r="L7" s="5">
        <f>'Apuestas Extra'!B14</f>
      </c>
      <c r="M7" s="5">
        <v>0</v>
      </c>
      <c r="N7" s="6">
        <f>K7+L7+M7</f>
      </c>
    </row>
    <row r="8" spans="1:14" x14ac:dyDescent="0.25">
      <c r="A8" s="3">
        <f>RANK(N8,$N$3:$N$8)</f>
      </c>
      <c r="B8" s="4" t="s">
        <v>20</v>
      </c>
      <c r="C8" s="5">
        <f>SUM('Jornada 1'!X3:X26)</f>
      </c>
      <c r="D8" s="5">
        <f>SUM('Jornada 2'!X3:X26)</f>
      </c>
      <c r="E8" s="5">
        <f>SUM('Jornada 3'!X3:X26)</f>
      </c>
      <c r="F8" s="5">
        <f>SUM('32avos'!X3:X18)</f>
      </c>
      <c r="G8" s="5">
        <f>SUM('octavos'!X3:X10)</f>
      </c>
      <c r="H8" s="5">
        <f>SUM('cuartos'!X3:X6)</f>
      </c>
      <c r="I8" s="5">
        <f>SUM('semis'!X3:X4)</f>
      </c>
      <c r="J8" s="5">
        <f>SUM('final'!X3:X3)</f>
      </c>
      <c r="K8" s="5">
        <f>SUM(C8:J8)</f>
      </c>
      <c r="L8" s="5">
        <f>'Apuestas Extra'!B15</f>
      </c>
      <c r="M8" s="5">
        <v>30</v>
      </c>
      <c r="N8" s="6">
        <f>K8+L8+M8</f>
      </c>
    </row>
    <row r="10" spans="1:8" x14ac:dyDescent="0.25">
      <c r="A10" s="7" t="s">
        <v>21</v>
      </c>
      <c r="B10" s="7"/>
      <c r="C10" s="7"/>
      <c r="D10" s="7"/>
      <c r="E10" s="7"/>
      <c r="F10" s="7"/>
      <c r="G10" s="7"/>
      <c r="H10" s="7"/>
    </row>
    <row r="11" spans="1:8" x14ac:dyDescent="0.25">
      <c r="A11" t="s">
        <v>22</v>
      </c>
      <c r="B11"/>
      <c r="C11"/>
      <c r="D11"/>
      <c r="E11"/>
      <c r="F11"/>
      <c r="G11"/>
      <c r="H11"/>
    </row>
    <row r="12" spans="1:8" x14ac:dyDescent="0.25">
      <c r="A12" t="s">
        <v>23</v>
      </c>
      <c r="B12"/>
      <c r="C12"/>
      <c r="D12"/>
      <c r="E12"/>
      <c r="F12"/>
      <c r="G12"/>
      <c r="H12"/>
    </row>
    <row r="13" spans="1:8" x14ac:dyDescent="0.25">
      <c r="A13" t="s">
        <v>24</v>
      </c>
      <c r="B13"/>
      <c r="C13"/>
      <c r="D13"/>
      <c r="E13"/>
      <c r="F13"/>
      <c r="G13"/>
      <c r="H13"/>
    </row>
    <row r="14" spans="1:8" x14ac:dyDescent="0.25">
      <c r="A14" t="s">
        <v>25</v>
      </c>
      <c r="B14"/>
      <c r="C14"/>
      <c r="D14"/>
      <c r="E14"/>
      <c r="F14"/>
      <c r="G14"/>
      <c r="H14"/>
    </row>
    <row r="15" spans="1:8" x14ac:dyDescent="0.25">
      <c r="A15" t="s">
        <v>26</v>
      </c>
      <c r="B15"/>
      <c r="C15"/>
      <c r="D15"/>
      <c r="E15"/>
      <c r="F15"/>
      <c r="G15"/>
      <c r="H15"/>
    </row>
    <row r="16" spans="1:8" x14ac:dyDescent="0.25">
      <c r="A16" t="s">
        <v>27</v>
      </c>
      <c r="B16"/>
      <c r="C16"/>
      <c r="D16"/>
      <c r="E16"/>
      <c r="F16"/>
      <c r="G16"/>
      <c r="H16"/>
    </row>
  </sheetData>
  <mergeCells count="8">
    <mergeCell ref="A1:N1"/>
    <mergeCell ref="A10:H10"/>
    <mergeCell ref="A11:H11"/>
    <mergeCell ref="A12:H12"/>
    <mergeCell ref="A13:H13"/>
    <mergeCell ref="A14:H14"/>
    <mergeCell ref="A15:H15"/>
    <mergeCell ref="A16:H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 showGridLines="0">
      <pane xSplit="6" ySplit="2" topLeftCell="G3" activePane="bottomRight" state="frozen"/>
      <selection pane="bottomRight"/>
    </sheetView>
  </sheetViews>
  <sheetFormatPr defaultRowHeight="15" outlineLevelRow="0" outlineLevelCol="0" x14ac:dyDescent="55"/>
  <cols>
    <col min="1" max="1" width="4" customWidth="1"/>
    <col min="2" max="2" width="6" customWidth="1"/>
    <col min="3" max="4" width="16" customWidth="1"/>
    <col min="5" max="24" width="5" customWidth="1"/>
  </cols>
  <sheetData>
    <row r="1" spans="1:24" x14ac:dyDescent="0.25">
      <c r="A1" s="8" t="s">
        <v>28</v>
      </c>
      <c r="B1" s="8"/>
      <c r="C1" s="8"/>
      <c r="D1" s="8"/>
      <c r="E1" s="8" t="s">
        <v>29</v>
      </c>
      <c r="F1" s="8"/>
      <c r="G1" s="8" t="s">
        <v>15</v>
      </c>
      <c r="H1" s="8"/>
      <c r="I1" s="8"/>
      <c r="J1" s="8" t="s">
        <v>16</v>
      </c>
      <c r="K1" s="8"/>
      <c r="L1" s="8"/>
      <c r="M1" s="8" t="s">
        <v>17</v>
      </c>
      <c r="N1" s="8"/>
      <c r="O1" s="8"/>
      <c r="P1" s="8" t="s">
        <v>18</v>
      </c>
      <c r="Q1" s="8"/>
      <c r="R1" s="8"/>
      <c r="S1" s="8" t="s">
        <v>19</v>
      </c>
      <c r="T1" s="8"/>
      <c r="U1" s="8"/>
      <c r="V1" s="8" t="s">
        <v>20</v>
      </c>
      <c r="W1" s="8"/>
      <c r="X1" s="8"/>
    </row>
    <row r="2" spans="1:24" x14ac:dyDescent="0.25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34</v>
      </c>
      <c r="H2" s="2" t="s">
        <v>35</v>
      </c>
      <c r="I2" s="2" t="s">
        <v>36</v>
      </c>
      <c r="J2" s="2" t="s">
        <v>34</v>
      </c>
      <c r="K2" s="2" t="s">
        <v>35</v>
      </c>
      <c r="L2" s="2" t="s">
        <v>36</v>
      </c>
      <c r="M2" s="2" t="s">
        <v>34</v>
      </c>
      <c r="N2" s="2" t="s">
        <v>35</v>
      </c>
      <c r="O2" s="2" t="s">
        <v>36</v>
      </c>
      <c r="P2" s="2" t="s">
        <v>34</v>
      </c>
      <c r="Q2" s="2" t="s">
        <v>35</v>
      </c>
      <c r="R2" s="2" t="s">
        <v>36</v>
      </c>
      <c r="S2" s="2" t="s">
        <v>34</v>
      </c>
      <c r="T2" s="2" t="s">
        <v>35</v>
      </c>
      <c r="U2" s="2" t="s">
        <v>36</v>
      </c>
      <c r="V2" s="2" t="s">
        <v>34</v>
      </c>
      <c r="W2" s="2" t="s">
        <v>35</v>
      </c>
      <c r="X2" s="2" t="s">
        <v>36</v>
      </c>
    </row>
    <row r="3" spans="1:24" x14ac:dyDescent="0.25">
      <c r="A3" s="5">
        <v>1</v>
      </c>
      <c r="B3" s="5" t="s">
        <v>37</v>
      </c>
      <c r="C3" s="9" t="s">
        <v>38</v>
      </c>
      <c r="D3" s="9" t="s">
        <v>39</v>
      </c>
      <c r="E3" s="10">
        <v>2</v>
      </c>
      <c r="F3" s="10">
        <v>0</v>
      </c>
      <c r="G3" s="5">
        <v>2</v>
      </c>
      <c r="H3" s="5">
        <v>1</v>
      </c>
      <c r="I3" s="3">
        <f>IF(OR($E3="",$F3=""),"",IF(OR(G3="",H3=""),"",IF(AND(G3=$E3,H3=$F3),2,IF(SIGN(G3-H3)=SIGN($E3-$F3),1,0))))</f>
      </c>
      <c r="J3" s="5">
        <v>2</v>
      </c>
      <c r="K3" s="5">
        <v>0</v>
      </c>
      <c r="L3" s="3">
        <f>IF(OR($E3="",$F3=""),"",IF(OR(J3="",K3=""),"",IF(AND(J3=$E3,K3=$F3),2,IF(SIGN(J3-K3)=SIGN($E3-$F3),1,0))))</f>
      </c>
      <c r="M3" s="5">
        <v>2</v>
      </c>
      <c r="N3" s="5">
        <v>1</v>
      </c>
      <c r="O3" s="3">
        <f>IF(OR($E3="",$F3=""),"",IF(OR(M3="",N3=""),"",IF(AND(M3=$E3,N3=$F3),2,IF(SIGN(M3-N3)=SIGN($E3-$F3),1,0))))</f>
      </c>
      <c r="P3" s="5">
        <v>1</v>
      </c>
      <c r="Q3" s="5">
        <v>1</v>
      </c>
      <c r="R3" s="3">
        <f>IF(OR($E3="",$F3=""),"",IF(OR(P3="",Q3=""),"",IF(AND(P3=$E3,Q3=$F3),2,IF(SIGN(P3-Q3)=SIGN($E3-$F3),1,0))))</f>
      </c>
      <c r="S3" s="5">
        <v>2</v>
      </c>
      <c r="T3" s="5">
        <v>1</v>
      </c>
      <c r="U3" s="3">
        <f>IF(OR($E3="",$F3=""),"",IF(OR(S3="",T3=""),"",IF(AND(S3=$E3,T3=$F3),2,IF(SIGN(S3-T3)=SIGN($E3-$F3),1,0))))</f>
      </c>
      <c r="V3" s="5"/>
      <c r="W3" s="5"/>
      <c r="X3" s="3">
        <f>IF(OR($E3="",$F3=""),"",IF(OR(V3="",W3=""),"",IF(AND(V3=$E3,W3=$F3),2,IF(SIGN(V3-W3)=SIGN($E3-$F3),1,0))))</f>
      </c>
    </row>
    <row r="4" spans="1:24" x14ac:dyDescent="0.25">
      <c r="A4" s="5">
        <v>2</v>
      </c>
      <c r="B4" s="5" t="s">
        <v>37</v>
      </c>
      <c r="C4" s="9" t="s">
        <v>40</v>
      </c>
      <c r="D4" s="9" t="s">
        <v>41</v>
      </c>
      <c r="E4" s="10">
        <v>2</v>
      </c>
      <c r="F4" s="10">
        <v>1</v>
      </c>
      <c r="G4" s="5">
        <v>1</v>
      </c>
      <c r="H4" s="5">
        <v>1</v>
      </c>
      <c r="I4" s="3">
        <f>IF(OR($E4="",$F4=""),"",IF(OR(G4="",H4=""),"",IF(AND(G4=$E4,H4=$F4),2,IF(SIGN(G4-H4)=SIGN($E4-$F4),1,0))))</f>
      </c>
      <c r="J4" s="5">
        <v>1</v>
      </c>
      <c r="K4" s="5">
        <v>1</v>
      </c>
      <c r="L4" s="3">
        <f>IF(OR($E4="",$F4=""),"",IF(OR(J4="",K4=""),"",IF(AND(J4=$E4,K4=$F4),2,IF(SIGN(J4-K4)=SIGN($E4-$F4),1,0))))</f>
      </c>
      <c r="M4" s="5">
        <v>1</v>
      </c>
      <c r="N4" s="5">
        <v>1</v>
      </c>
      <c r="O4" s="3">
        <f>IF(OR($E4="",$F4=""),"",IF(OR(M4="",N4=""),"",IF(AND(M4=$E4,N4=$F4),2,IF(SIGN(M4-N4)=SIGN($E4-$F4),1,0))))</f>
      </c>
      <c r="P4" s="5">
        <v>0</v>
      </c>
      <c r="Q4" s="5">
        <v>1</v>
      </c>
      <c r="R4" s="3">
        <f>IF(OR($E4="",$F4=""),"",IF(OR(P4="",Q4=""),"",IF(AND(P4=$E4,Q4=$F4),2,IF(SIGN(P4-Q4)=SIGN($E4-$F4),1,0))))</f>
      </c>
      <c r="S4" s="5">
        <v>2</v>
      </c>
      <c r="T4" s="5">
        <v>1</v>
      </c>
      <c r="U4" s="3">
        <f>IF(OR($E4="",$F4=""),"",IF(OR(S4="",T4=""),"",IF(AND(S4=$E4,T4=$F4),2,IF(SIGN(S4-T4)=SIGN($E4-$F4),1,0))))</f>
      </c>
      <c r="V4" s="5"/>
      <c r="W4" s="5"/>
      <c r="X4" s="3">
        <f>IF(OR($E4="",$F4=""),"",IF(OR(V4="",W4=""),"",IF(AND(V4=$E4,W4=$F4),2,IF(SIGN(V4-W4)=SIGN($E4-$F4),1,0))))</f>
      </c>
    </row>
    <row r="5" spans="1:24" x14ac:dyDescent="0.25">
      <c r="A5" s="5">
        <v>3</v>
      </c>
      <c r="B5" s="5" t="s">
        <v>42</v>
      </c>
      <c r="C5" s="9" t="s">
        <v>43</v>
      </c>
      <c r="D5" s="9" t="s">
        <v>44</v>
      </c>
      <c r="E5" s="10">
        <v>1</v>
      </c>
      <c r="F5" s="10">
        <v>1</v>
      </c>
      <c r="G5" s="5">
        <v>0</v>
      </c>
      <c r="H5" s="5">
        <v>0</v>
      </c>
      <c r="I5" s="3">
        <f>IF(OR($E5="",$F5=""),"",IF(OR(G5="",H5=""),"",IF(AND(G5=$E5,H5=$F5),2,IF(SIGN(G5-H5)=SIGN($E5-$F5),1,0))))</f>
      </c>
      <c r="J5" s="5">
        <v>2</v>
      </c>
      <c r="K5" s="5">
        <v>0</v>
      </c>
      <c r="L5" s="3">
        <f>IF(OR($E5="",$F5=""),"",IF(OR(J5="",K5=""),"",IF(AND(J5=$E5,K5=$F5),2,IF(SIGN(J5-K5)=SIGN($E5-$F5),1,0))))</f>
      </c>
      <c r="M5" s="5">
        <v>2</v>
      </c>
      <c r="N5" s="5">
        <v>1</v>
      </c>
      <c r="O5" s="3">
        <f>IF(OR($E5="",$F5=""),"",IF(OR(M5="",N5=""),"",IF(AND(M5=$E5,N5=$F5),2,IF(SIGN(M5-N5)=SIGN($E5-$F5),1,0))))</f>
      </c>
      <c r="P5" s="5">
        <v>1</v>
      </c>
      <c r="Q5" s="5">
        <v>1</v>
      </c>
      <c r="R5" s="3">
        <f>IF(OR($E5="",$F5=""),"",IF(OR(P5="",Q5=""),"",IF(AND(P5=$E5,Q5=$F5),2,IF(SIGN(P5-Q5)=SIGN($E5-$F5),1,0))))</f>
      </c>
      <c r="S5" s="5">
        <v>1</v>
      </c>
      <c r="T5" s="5">
        <v>1</v>
      </c>
      <c r="U5" s="3">
        <f>IF(OR($E5="",$F5=""),"",IF(OR(S5="",T5=""),"",IF(AND(S5=$E5,T5=$F5),2,IF(SIGN(S5-T5)=SIGN($E5-$F5),1,0))))</f>
      </c>
      <c r="V5" s="5"/>
      <c r="W5" s="5"/>
      <c r="X5" s="3">
        <f>IF(OR($E5="",$F5=""),"",IF(OR(V5="",W5=""),"",IF(AND(V5=$E5,W5=$F5),2,IF(SIGN(V5-W5)=SIGN($E5-$F5),1,0))))</f>
      </c>
    </row>
    <row r="6" spans="1:24" x14ac:dyDescent="0.25">
      <c r="A6" s="5">
        <v>4</v>
      </c>
      <c r="B6" s="5" t="s">
        <v>42</v>
      </c>
      <c r="C6" s="9" t="s">
        <v>45</v>
      </c>
      <c r="D6" s="9" t="s">
        <v>46</v>
      </c>
      <c r="E6" s="10">
        <v>1</v>
      </c>
      <c r="F6" s="10">
        <v>1</v>
      </c>
      <c r="G6" s="5">
        <v>0</v>
      </c>
      <c r="H6" s="5">
        <v>1</v>
      </c>
      <c r="I6" s="3">
        <f>IF(OR($E6="",$F6=""),"",IF(OR(G6="",H6=""),"",IF(AND(G6=$E6,H6=$F6),2,IF(SIGN(G6-H6)=SIGN($E6-$F6),1,0))))</f>
      </c>
      <c r="J6" s="5">
        <v>0</v>
      </c>
      <c r="K6" s="5">
        <v>2</v>
      </c>
      <c r="L6" s="3">
        <f>IF(OR($E6="",$F6=""),"",IF(OR(J6="",K6=""),"",IF(AND(J6=$E6,K6=$F6),2,IF(SIGN(J6-K6)=SIGN($E6-$F6),1,0))))</f>
      </c>
      <c r="M6" s="5">
        <v>0</v>
      </c>
      <c r="N6" s="5">
        <v>2</v>
      </c>
      <c r="O6" s="3">
        <f>IF(OR($E6="",$F6=""),"",IF(OR(M6="",N6=""),"",IF(AND(M6=$E6,N6=$F6),2,IF(SIGN(M6-N6)=SIGN($E6-$F6),1,0))))</f>
      </c>
      <c r="P6" s="5">
        <v>0</v>
      </c>
      <c r="Q6" s="5">
        <v>2</v>
      </c>
      <c r="R6" s="3">
        <f>IF(OR($E6="",$F6=""),"",IF(OR(P6="",Q6=""),"",IF(AND(P6=$E6,Q6=$F6),2,IF(SIGN(P6-Q6)=SIGN($E6-$F6),1,0))))</f>
      </c>
      <c r="S6" s="5">
        <v>1</v>
      </c>
      <c r="T6" s="5">
        <v>1</v>
      </c>
      <c r="U6" s="3">
        <f>IF(OR($E6="",$F6=""),"",IF(OR(S6="",T6=""),"",IF(AND(S6=$E6,T6=$F6),2,IF(SIGN(S6-T6)=SIGN($E6-$F6),1,0))))</f>
      </c>
      <c r="V6" s="5"/>
      <c r="W6" s="5"/>
      <c r="X6" s="3">
        <f>IF(OR($E6="",$F6=""),"",IF(OR(V6="",W6=""),"",IF(AND(V6=$E6,W6=$F6),2,IF(SIGN(V6-W6)=SIGN($E6-$F6),1,0))))</f>
      </c>
    </row>
    <row r="7" spans="1:24" x14ac:dyDescent="0.25">
      <c r="A7" s="5">
        <v>5</v>
      </c>
      <c r="B7" s="5" t="s">
        <v>47</v>
      </c>
      <c r="C7" s="9" t="s">
        <v>48</v>
      </c>
      <c r="D7" s="9" t="s">
        <v>49</v>
      </c>
      <c r="E7" s="10">
        <v>1</v>
      </c>
      <c r="F7" s="10">
        <v>1</v>
      </c>
      <c r="G7" s="5">
        <v>1</v>
      </c>
      <c r="H7" s="5">
        <v>1</v>
      </c>
      <c r="I7" s="3">
        <f>IF(OR($E7="",$F7=""),"",IF(OR(G7="",H7=""),"",IF(AND(G7=$E7,H7=$F7),2,IF(SIGN(G7-H7)=SIGN($E7-$F7),1,0))))</f>
      </c>
      <c r="J7" s="5">
        <v>3</v>
      </c>
      <c r="K7" s="5">
        <v>1</v>
      </c>
      <c r="L7" s="3">
        <f>IF(OR($E7="",$F7=""),"",IF(OR(J7="",K7=""),"",IF(AND(J7=$E7,K7=$F7),2,IF(SIGN(J7-K7)=SIGN($E7-$F7),1,0))))</f>
      </c>
      <c r="M7" s="5">
        <v>2</v>
      </c>
      <c r="N7" s="5">
        <v>0</v>
      </c>
      <c r="O7" s="3">
        <f>IF(OR($E7="",$F7=""),"",IF(OR(M7="",N7=""),"",IF(AND(M7=$E7,N7=$F7),2,IF(SIGN(M7-N7)=SIGN($E7-$F7),1,0))))</f>
      </c>
      <c r="P7" s="5">
        <v>1</v>
      </c>
      <c r="Q7" s="5">
        <v>0</v>
      </c>
      <c r="R7" s="3">
        <f>IF(OR($E7="",$F7=""),"",IF(OR(P7="",Q7=""),"",IF(AND(P7=$E7,Q7=$F7),2,IF(SIGN(P7-Q7)=SIGN($E7-$F7),1,0))))</f>
      </c>
      <c r="S7" s="5">
        <v>3</v>
      </c>
      <c r="T7" s="5">
        <v>1</v>
      </c>
      <c r="U7" s="3">
        <f>IF(OR($E7="",$F7=""),"",IF(OR(S7="",T7=""),"",IF(AND(S7=$E7,T7=$F7),2,IF(SIGN(S7-T7)=SIGN($E7-$F7),1,0))))</f>
      </c>
      <c r="V7" s="5"/>
      <c r="W7" s="5"/>
      <c r="X7" s="3">
        <f>IF(OR($E7="",$F7=""),"",IF(OR(V7="",W7=""),"",IF(AND(V7=$E7,W7=$F7),2,IF(SIGN(V7-W7)=SIGN($E7-$F7),1,0))))</f>
      </c>
    </row>
    <row r="8" spans="1:24" x14ac:dyDescent="0.25">
      <c r="A8" s="5">
        <v>6</v>
      </c>
      <c r="B8" s="5" t="s">
        <v>47</v>
      </c>
      <c r="C8" s="9" t="s">
        <v>50</v>
      </c>
      <c r="D8" s="9" t="s">
        <v>51</v>
      </c>
      <c r="E8" s="10">
        <v>0</v>
      </c>
      <c r="F8" s="10">
        <v>1</v>
      </c>
      <c r="G8" s="5">
        <v>1</v>
      </c>
      <c r="H8" s="5">
        <v>2</v>
      </c>
      <c r="I8" s="3">
        <f>IF(OR($E8="",$F8=""),"",IF(OR(G8="",H8=""),"",IF(AND(G8=$E8,H8=$F8),2,IF(SIGN(G8-H8)=SIGN($E8-$F8),1,0))))</f>
      </c>
      <c r="J8" s="5">
        <v>0</v>
      </c>
      <c r="K8" s="5">
        <v>4</v>
      </c>
      <c r="L8" s="3">
        <f>IF(OR($E8="",$F8=""),"",IF(OR(J8="",K8=""),"",IF(AND(J8=$E8,K8=$F8),2,IF(SIGN(J8-K8)=SIGN($E8-$F8),1,0))))</f>
      </c>
      <c r="M8" s="5">
        <v>0</v>
      </c>
      <c r="N8" s="5">
        <v>2</v>
      </c>
      <c r="O8" s="3">
        <f>IF(OR($E8="",$F8=""),"",IF(OR(M8="",N8=""),"",IF(AND(M8=$E8,N8=$F8),2,IF(SIGN(M8-N8)=SIGN($E8-$F8),1,0))))</f>
      </c>
      <c r="P8" s="5">
        <v>1</v>
      </c>
      <c r="Q8" s="5">
        <v>3</v>
      </c>
      <c r="R8" s="3">
        <f>IF(OR($E8="",$F8=""),"",IF(OR(P8="",Q8=""),"",IF(AND(P8=$E8,Q8=$F8),2,IF(SIGN(P8-Q8)=SIGN($E8-$F8),1,0))))</f>
      </c>
      <c r="S8" s="5">
        <v>0</v>
      </c>
      <c r="T8" s="5">
        <v>2</v>
      </c>
      <c r="U8" s="3">
        <f>IF(OR($E8="",$F8=""),"",IF(OR(S8="",T8=""),"",IF(AND(S8=$E8,T8=$F8),2,IF(SIGN(S8-T8)=SIGN($E8-$F8),1,0))))</f>
      </c>
      <c r="V8" s="5"/>
      <c r="W8" s="5"/>
      <c r="X8" s="3">
        <f>IF(OR($E8="",$F8=""),"",IF(OR(V8="",W8=""),"",IF(AND(V8=$E8,W8=$F8),2,IF(SIGN(V8-W8)=SIGN($E8-$F8),1,0))))</f>
      </c>
    </row>
    <row r="9" spans="1:24" x14ac:dyDescent="0.25">
      <c r="A9" s="5">
        <v>7</v>
      </c>
      <c r="B9" s="5" t="s">
        <v>52</v>
      </c>
      <c r="C9" s="9" t="s">
        <v>53</v>
      </c>
      <c r="D9" s="9" t="s">
        <v>54</v>
      </c>
      <c r="E9" s="10">
        <v>4</v>
      </c>
      <c r="F9" s="10">
        <v>1</v>
      </c>
      <c r="G9" s="5">
        <v>0</v>
      </c>
      <c r="H9" s="5">
        <v>0</v>
      </c>
      <c r="I9" s="3">
        <f>IF(OR($E9="",$F9=""),"",IF(OR(G9="",H9=""),"",IF(AND(G9=$E9,H9=$F9),2,IF(SIGN(G9-H9)=SIGN($E9-$F9),1,0))))</f>
      </c>
      <c r="J9" s="5">
        <v>2</v>
      </c>
      <c r="K9" s="5">
        <v>1</v>
      </c>
      <c r="L9" s="3">
        <f>IF(OR($E9="",$F9=""),"",IF(OR(J9="",K9=""),"",IF(AND(J9=$E9,K9=$F9),2,IF(SIGN(J9-K9)=SIGN($E9-$F9),1,0))))</f>
      </c>
      <c r="M9" s="5">
        <v>1</v>
      </c>
      <c r="N9" s="5">
        <v>1</v>
      </c>
      <c r="O9" s="3">
        <f>IF(OR($E9="",$F9=""),"",IF(OR(M9="",N9=""),"",IF(AND(M9=$E9,N9=$F9),2,IF(SIGN(M9-N9)=SIGN($E9-$F9),1,0))))</f>
      </c>
      <c r="P9" s="5">
        <v>1</v>
      </c>
      <c r="Q9" s="5">
        <v>2</v>
      </c>
      <c r="R9" s="3">
        <f>IF(OR($E9="",$F9=""),"",IF(OR(P9="",Q9=""),"",IF(AND(P9=$E9,Q9=$F9),2,IF(SIGN(P9-Q9)=SIGN($E9-$F9),1,0))))</f>
      </c>
      <c r="S9" s="5">
        <v>2</v>
      </c>
      <c r="T9" s="5">
        <v>1</v>
      </c>
      <c r="U9" s="3">
        <f>IF(OR($E9="",$F9=""),"",IF(OR(S9="",T9=""),"",IF(AND(S9=$E9,T9=$F9),2,IF(SIGN(S9-T9)=SIGN($E9-$F9),1,0))))</f>
      </c>
      <c r="V9" s="5"/>
      <c r="W9" s="5"/>
      <c r="X9" s="3">
        <f>IF(OR($E9="",$F9=""),"",IF(OR(V9="",W9=""),"",IF(AND(V9=$E9,W9=$F9),2,IF(SIGN(V9-W9)=SIGN($E9-$F9),1,0))))</f>
      </c>
    </row>
    <row r="10" spans="1:24" x14ac:dyDescent="0.25">
      <c r="A10" s="5">
        <v>8</v>
      </c>
      <c r="B10" s="5" t="s">
        <v>52</v>
      </c>
      <c r="C10" s="9" t="s">
        <v>55</v>
      </c>
      <c r="D10" s="9" t="s">
        <v>56</v>
      </c>
      <c r="E10" s="10">
        <v>2</v>
      </c>
      <c r="F10" s="10">
        <v>0</v>
      </c>
      <c r="G10" s="5">
        <v>0</v>
      </c>
      <c r="H10" s="5">
        <v>2</v>
      </c>
      <c r="I10" s="3">
        <f>IF(OR($E10="",$F10=""),"",IF(OR(G10="",H10=""),"",IF(AND(G10=$E10,H10=$F10),2,IF(SIGN(G10-H10)=SIGN($E10-$F10),1,0))))</f>
      </c>
      <c r="J10" s="5">
        <v>0</v>
      </c>
      <c r="K10" s="5">
        <v>1</v>
      </c>
      <c r="L10" s="3">
        <f>IF(OR($E10="",$F10=""),"",IF(OR(J10="",K10=""),"",IF(AND(J10=$E10,K10=$F10),2,IF(SIGN(J10-K10)=SIGN($E10-$F10),1,0))))</f>
      </c>
      <c r="M10" s="5">
        <v>1</v>
      </c>
      <c r="N10" s="5">
        <v>2</v>
      </c>
      <c r="O10" s="3">
        <f>IF(OR($E10="",$F10=""),"",IF(OR(M10="",N10=""),"",IF(AND(M10=$E10,N10=$F10),2,IF(SIGN(M10-N10)=SIGN($E10-$F10),1,0))))</f>
      </c>
      <c r="P10" s="5">
        <v>0</v>
      </c>
      <c r="Q10" s="5">
        <v>3</v>
      </c>
      <c r="R10" s="3">
        <f>IF(OR($E10="",$F10=""),"",IF(OR(P10="",Q10=""),"",IF(AND(P10=$E10,Q10=$F10),2,IF(SIGN(P10-Q10)=SIGN($E10-$F10),1,0))))</f>
      </c>
      <c r="S10" s="5">
        <v>1</v>
      </c>
      <c r="T10" s="5">
        <v>2</v>
      </c>
      <c r="U10" s="3">
        <f>IF(OR($E10="",$F10=""),"",IF(OR(S10="",T10=""),"",IF(AND(S10=$E10,T10=$F10),2,IF(SIGN(S10-T10)=SIGN($E10-$F10),1,0))))</f>
      </c>
      <c r="V10" s="5"/>
      <c r="W10" s="5"/>
      <c r="X10" s="3">
        <f>IF(OR($E10="",$F10=""),"",IF(OR(V10="",W10=""),"",IF(AND(V10=$E10,W10=$F10),2,IF(SIGN(V10-W10)=SIGN($E10-$F10),1,0))))</f>
      </c>
    </row>
    <row r="11" spans="1:24" x14ac:dyDescent="0.25">
      <c r="A11" s="5">
        <v>9</v>
      </c>
      <c r="B11" s="5" t="s">
        <v>57</v>
      </c>
      <c r="C11" s="9" t="s">
        <v>58</v>
      </c>
      <c r="D11" s="9" t="s">
        <v>59</v>
      </c>
      <c r="E11" s="10">
        <v>7</v>
      </c>
      <c r="F11" s="10">
        <v>1</v>
      </c>
      <c r="G11" s="5">
        <v>5</v>
      </c>
      <c r="H11" s="5">
        <v>0</v>
      </c>
      <c r="I11" s="3">
        <f>IF(OR($E11="",$F11=""),"",IF(OR(G11="",H11=""),"",IF(AND(G11=$E11,H11=$F11),2,IF(SIGN(G11-H11)=SIGN($E11-$F11),1,0))))</f>
      </c>
      <c r="J11" s="5">
        <v>4</v>
      </c>
      <c r="K11" s="5">
        <v>0</v>
      </c>
      <c r="L11" s="3">
        <f>IF(OR($E11="",$F11=""),"",IF(OR(J11="",K11=""),"",IF(AND(J11=$E11,K11=$F11),2,IF(SIGN(J11-K11)=SIGN($E11-$F11),1,0))))</f>
      </c>
      <c r="M11" s="5">
        <v>3</v>
      </c>
      <c r="N11" s="5">
        <v>0</v>
      </c>
      <c r="O11" s="3">
        <f>IF(OR($E11="",$F11=""),"",IF(OR(M11="",N11=""),"",IF(AND(M11=$E11,N11=$F11),2,IF(SIGN(M11-N11)=SIGN($E11-$F11),1,0))))</f>
      </c>
      <c r="P11" s="5">
        <v>4</v>
      </c>
      <c r="Q11" s="5">
        <v>0</v>
      </c>
      <c r="R11" s="3">
        <f>IF(OR($E11="",$F11=""),"",IF(OR(P11="",Q11=""),"",IF(AND(P11=$E11,Q11=$F11),2,IF(SIGN(P11-Q11)=SIGN($E11-$F11),1,0))))</f>
      </c>
      <c r="S11" s="5">
        <v>4</v>
      </c>
      <c r="T11" s="5">
        <v>0</v>
      </c>
      <c r="U11" s="3">
        <f>IF(OR($E11="",$F11=""),"",IF(OR(S11="",T11=""),"",IF(AND(S11=$E11,T11=$F11),2,IF(SIGN(S11-T11)=SIGN($E11-$F11),1,0))))</f>
      </c>
      <c r="V11" s="5"/>
      <c r="W11" s="5"/>
      <c r="X11" s="3">
        <f>IF(OR($E11="",$F11=""),"",IF(OR(V11="",W11=""),"",IF(AND(V11=$E11,W11=$F11),2,IF(SIGN(V11-W11)=SIGN($E11-$F11),1,0))))</f>
      </c>
    </row>
    <row r="12" spans="1:24" x14ac:dyDescent="0.25">
      <c r="A12" s="5">
        <v>10</v>
      </c>
      <c r="B12" s="5" t="s">
        <v>57</v>
      </c>
      <c r="C12" s="9" t="s">
        <v>60</v>
      </c>
      <c r="D12" s="9" t="s">
        <v>61</v>
      </c>
      <c r="E12" s="10">
        <v>1</v>
      </c>
      <c r="F12" s="10">
        <v>0</v>
      </c>
      <c r="G12" s="5">
        <v>1</v>
      </c>
      <c r="H12" s="5">
        <v>3</v>
      </c>
      <c r="I12" s="3">
        <f>IF(OR($E12="",$F12=""),"",IF(OR(G12="",H12=""),"",IF(AND(G12=$E12,H12=$F12),2,IF(SIGN(G12-H12)=SIGN($E12-$F12),1,0))))</f>
      </c>
      <c r="J12" s="5">
        <v>1</v>
      </c>
      <c r="K12" s="5">
        <v>1</v>
      </c>
      <c r="L12" s="3">
        <f>IF(OR($E12="",$F12=""),"",IF(OR(J12="",K12=""),"",IF(AND(J12=$E12,K12=$F12),2,IF(SIGN(J12-K12)=SIGN($E12-$F12),1,0))))</f>
      </c>
      <c r="M12" s="5">
        <v>1</v>
      </c>
      <c r="N12" s="5">
        <v>1</v>
      </c>
      <c r="O12" s="3">
        <f>IF(OR($E12="",$F12=""),"",IF(OR(M12="",N12=""),"",IF(AND(M12=$E12,N12=$F12),2,IF(SIGN(M12-N12)=SIGN($E12-$F12),1,0))))</f>
      </c>
      <c r="P12" s="5">
        <v>2</v>
      </c>
      <c r="Q12" s="5">
        <v>1</v>
      </c>
      <c r="R12" s="3">
        <f>IF(OR($E12="",$F12=""),"",IF(OR(P12="",Q12=""),"",IF(AND(P12=$E12,Q12=$F12),2,IF(SIGN(P12-Q12)=SIGN($E12-$F12),1,0))))</f>
      </c>
      <c r="S12" s="5">
        <v>1</v>
      </c>
      <c r="T12" s="5">
        <v>1</v>
      </c>
      <c r="U12" s="3">
        <f>IF(OR($E12="",$F12=""),"",IF(OR(S12="",T12=""),"",IF(AND(S12=$E12,T12=$F12),2,IF(SIGN(S12-T12)=SIGN($E12-$F12),1,0))))</f>
      </c>
      <c r="V12" s="5"/>
      <c r="W12" s="5"/>
      <c r="X12" s="3">
        <f>IF(OR($E12="",$F12=""),"",IF(OR(V12="",W12=""),"",IF(AND(V12=$E12,W12=$F12),2,IF(SIGN(V12-W12)=SIGN($E12-$F12),1,0))))</f>
      </c>
    </row>
    <row r="13" spans="1:24" x14ac:dyDescent="0.25">
      <c r="A13" s="5">
        <v>11</v>
      </c>
      <c r="B13" s="5" t="s">
        <v>62</v>
      </c>
      <c r="C13" s="9" t="s">
        <v>63</v>
      </c>
      <c r="D13" s="9" t="s">
        <v>64</v>
      </c>
      <c r="E13" s="10">
        <v>2</v>
      </c>
      <c r="F13" s="10">
        <v>2</v>
      </c>
      <c r="G13" s="5">
        <v>2</v>
      </c>
      <c r="H13" s="5">
        <v>1</v>
      </c>
      <c r="I13" s="3">
        <f>IF(OR($E13="",$F13=""),"",IF(OR(G13="",H13=""),"",IF(AND(G13=$E13,H13=$F13),2,IF(SIGN(G13-H13)=SIGN($E13-$F13),1,0))))</f>
      </c>
      <c r="J13" s="5">
        <v>1</v>
      </c>
      <c r="K13" s="5">
        <v>0</v>
      </c>
      <c r="L13" s="3">
        <f>IF(OR($E13="",$F13=""),"",IF(OR(J13="",K13=""),"",IF(AND(J13=$E13,K13=$F13),2,IF(SIGN(J13-K13)=SIGN($E13-$F13),1,0))))</f>
      </c>
      <c r="M13" s="5">
        <v>2</v>
      </c>
      <c r="N13" s="5">
        <v>1</v>
      </c>
      <c r="O13" s="3">
        <f>IF(OR($E13="",$F13=""),"",IF(OR(M13="",N13=""),"",IF(AND(M13=$E13,N13=$F13),2,IF(SIGN(M13-N13)=SIGN($E13-$F13),1,0))))</f>
      </c>
      <c r="P13" s="5">
        <v>1</v>
      </c>
      <c r="Q13" s="5">
        <v>1</v>
      </c>
      <c r="R13" s="3">
        <f>IF(OR($E13="",$F13=""),"",IF(OR(P13="",Q13=""),"",IF(AND(P13=$E13,Q13=$F13),2,IF(SIGN(P13-Q13)=SIGN($E13-$F13),1,0))))</f>
      </c>
      <c r="S13" s="5">
        <v>1</v>
      </c>
      <c r="T13" s="5">
        <v>1</v>
      </c>
      <c r="U13" s="3">
        <f>IF(OR($E13="",$F13=""),"",IF(OR(S13="",T13=""),"",IF(AND(S13=$E13,T13=$F13),2,IF(SIGN(S13-T13)=SIGN($E13-$F13),1,0))))</f>
      </c>
      <c r="V13" s="5"/>
      <c r="W13" s="5"/>
      <c r="X13" s="3">
        <f>IF(OR($E13="",$F13=""),"",IF(OR(V13="",W13=""),"",IF(AND(V13=$E13,W13=$F13),2,IF(SIGN(V13-W13)=SIGN($E13-$F13),1,0))))</f>
      </c>
    </row>
    <row r="14" spans="1:24" x14ac:dyDescent="0.25">
      <c r="A14" s="5">
        <v>12</v>
      </c>
      <c r="B14" s="5" t="s">
        <v>62</v>
      </c>
      <c r="C14" s="9" t="s">
        <v>65</v>
      </c>
      <c r="D14" s="9" t="s">
        <v>66</v>
      </c>
      <c r="E14" s="10">
        <v>5</v>
      </c>
      <c r="F14" s="10">
        <v>1</v>
      </c>
      <c r="G14" s="5">
        <v>1</v>
      </c>
      <c r="H14" s="5">
        <v>0</v>
      </c>
      <c r="I14" s="3">
        <f>IF(OR($E14="",$F14=""),"",IF(OR(G14="",H14=""),"",IF(AND(G14=$E14,H14=$F14),2,IF(SIGN(G14-H14)=SIGN($E14-$F14),1,0))))</f>
      </c>
      <c r="J14" s="5">
        <v>2</v>
      </c>
      <c r="K14" s="5">
        <v>1</v>
      </c>
      <c r="L14" s="3">
        <f>IF(OR($E14="",$F14=""),"",IF(OR(J14="",K14=""),"",IF(AND(J14=$E14,K14=$F14),2,IF(SIGN(J14-K14)=SIGN($E14-$F14),1,0))))</f>
      </c>
      <c r="M14" s="5">
        <v>1</v>
      </c>
      <c r="N14" s="5">
        <v>0</v>
      </c>
      <c r="O14" s="3">
        <f>IF(OR($E14="",$F14=""),"",IF(OR(M14="",N14=""),"",IF(AND(M14=$E14,N14=$F14),2,IF(SIGN(M14-N14)=SIGN($E14-$F14),1,0))))</f>
      </c>
      <c r="P14" s="5">
        <v>2</v>
      </c>
      <c r="Q14" s="5">
        <v>0</v>
      </c>
      <c r="R14" s="3">
        <f>IF(OR($E14="",$F14=""),"",IF(OR(P14="",Q14=""),"",IF(AND(P14=$E14,Q14=$F14),2,IF(SIGN(P14-Q14)=SIGN($E14-$F14),1,0))))</f>
      </c>
      <c r="S14" s="5">
        <v>2</v>
      </c>
      <c r="T14" s="5">
        <v>1</v>
      </c>
      <c r="U14" s="3">
        <f>IF(OR($E14="",$F14=""),"",IF(OR(S14="",T14=""),"",IF(AND(S14=$E14,T14=$F14),2,IF(SIGN(S14-T14)=SIGN($E14-$F14),1,0))))</f>
      </c>
      <c r="V14" s="5"/>
      <c r="W14" s="5"/>
      <c r="X14" s="3">
        <f>IF(OR($E14="",$F14=""),"",IF(OR(V14="",W14=""),"",IF(AND(V14=$E14,W14=$F14),2,IF(SIGN(V14-W14)=SIGN($E14-$F14),1,0))))</f>
      </c>
    </row>
    <row r="15" spans="1:24" x14ac:dyDescent="0.25">
      <c r="A15" s="5">
        <v>13</v>
      </c>
      <c r="B15" s="5" t="s">
        <v>67</v>
      </c>
      <c r="C15" s="9" t="s">
        <v>68</v>
      </c>
      <c r="D15" s="9" t="s">
        <v>69</v>
      </c>
      <c r="E15" s="10">
        <v>1</v>
      </c>
      <c r="F15" s="10">
        <v>1</v>
      </c>
      <c r="G15" s="5">
        <v>2</v>
      </c>
      <c r="H15" s="5">
        <v>1</v>
      </c>
      <c r="I15" s="3">
        <f>IF(OR($E15="",$F15=""),"",IF(OR(G15="",H15=""),"",IF(AND(G15=$E15,H15=$F15),2,IF(SIGN(G15-H15)=SIGN($E15-$F15),1,0))))</f>
      </c>
      <c r="J15" s="5">
        <v>3</v>
      </c>
      <c r="K15" s="5">
        <v>1</v>
      </c>
      <c r="L15" s="3">
        <f>IF(OR($E15="",$F15=""),"",IF(OR(J15="",K15=""),"",IF(AND(J15=$E15,K15=$F15),2,IF(SIGN(J15-K15)=SIGN($E15-$F15),1,0))))</f>
      </c>
      <c r="M15" s="5">
        <v>2</v>
      </c>
      <c r="N15" s="5">
        <v>1</v>
      </c>
      <c r="O15" s="3">
        <f>IF(OR($E15="",$F15=""),"",IF(OR(M15="",N15=""),"",IF(AND(M15=$E15,N15=$F15),2,IF(SIGN(M15-N15)=SIGN($E15-$F15),1,0))))</f>
      </c>
      <c r="P15" s="5">
        <v>3</v>
      </c>
      <c r="Q15" s="5">
        <v>1</v>
      </c>
      <c r="R15" s="3">
        <f>IF(OR($E15="",$F15=""),"",IF(OR(P15="",Q15=""),"",IF(AND(P15=$E15,Q15=$F15),2,IF(SIGN(P15-Q15)=SIGN($E15-$F15),1,0))))</f>
      </c>
      <c r="S15" s="5">
        <v>2</v>
      </c>
      <c r="T15" s="5">
        <v>1</v>
      </c>
      <c r="U15" s="3">
        <f>IF(OR($E15="",$F15=""),"",IF(OR(S15="",T15=""),"",IF(AND(S15=$E15,T15=$F15),2,IF(SIGN(S15-T15)=SIGN($E15-$F15),1,0))))</f>
      </c>
      <c r="V15" s="5"/>
      <c r="W15" s="5"/>
      <c r="X15" s="3">
        <f>IF(OR($E15="",$F15=""),"",IF(OR(V15="",W15=""),"",IF(AND(V15=$E15,W15=$F15),2,IF(SIGN(V15-W15)=SIGN($E15-$F15),1,0))))</f>
      </c>
    </row>
    <row r="16" spans="1:24" x14ac:dyDescent="0.25">
      <c r="A16" s="5">
        <v>14</v>
      </c>
      <c r="B16" s="5" t="s">
        <v>67</v>
      </c>
      <c r="C16" s="9" t="s">
        <v>70</v>
      </c>
      <c r="D16" s="9" t="s">
        <v>71</v>
      </c>
      <c r="E16" s="10">
        <v>2</v>
      </c>
      <c r="F16" s="10">
        <v>2</v>
      </c>
      <c r="G16" s="5">
        <v>0</v>
      </c>
      <c r="H16" s="5">
        <v>0</v>
      </c>
      <c r="I16" s="3">
        <f>IF(OR($E16="",$F16=""),"",IF(OR(G16="",H16=""),"",IF(AND(G16=$E16,H16=$F16),2,IF(SIGN(G16-H16)=SIGN($E16-$F16),1,0))))</f>
      </c>
      <c r="J16" s="5">
        <v>0</v>
      </c>
      <c r="K16" s="5">
        <v>2</v>
      </c>
      <c r="L16" s="3">
        <f>IF(OR($E16="",$F16=""),"",IF(OR(J16="",K16=""),"",IF(AND(J16=$E16,K16=$F16),2,IF(SIGN(J16-K16)=SIGN($E16-$F16),1,0))))</f>
      </c>
      <c r="M16" s="5">
        <v>1</v>
      </c>
      <c r="N16" s="5">
        <v>1</v>
      </c>
      <c r="O16" s="3">
        <f>IF(OR($E16="",$F16=""),"",IF(OR(M16="",N16=""),"",IF(AND(M16=$E16,N16=$F16),2,IF(SIGN(M16-N16)=SIGN($E16-$F16),1,0))))</f>
      </c>
      <c r="P16" s="5">
        <v>1</v>
      </c>
      <c r="Q16" s="5">
        <v>1</v>
      </c>
      <c r="R16" s="3">
        <f>IF(OR($E16="",$F16=""),"",IF(OR(P16="",Q16=""),"",IF(AND(P16=$E16,Q16=$F16),2,IF(SIGN(P16-Q16)=SIGN($E16-$F16),1,0))))</f>
      </c>
      <c r="S16" s="5">
        <v>1</v>
      </c>
      <c r="T16" s="5">
        <v>0</v>
      </c>
      <c r="U16" s="3">
        <f>IF(OR($E16="",$F16=""),"",IF(OR(S16="",T16=""),"",IF(AND(S16=$E16,T16=$F16),2,IF(SIGN(S16-T16)=SIGN($E16-$F16),1,0))))</f>
      </c>
      <c r="V16" s="5"/>
      <c r="W16" s="5"/>
      <c r="X16" s="3">
        <f>IF(OR($E16="",$F16=""),"",IF(OR(V16="",W16=""),"",IF(AND(V16=$E16,W16=$F16),2,IF(SIGN(V16-W16)=SIGN($E16-$F16),1,0))))</f>
      </c>
    </row>
    <row r="17" spans="1:24" x14ac:dyDescent="0.25">
      <c r="A17" s="5">
        <v>15</v>
      </c>
      <c r="B17" s="5" t="s">
        <v>72</v>
      </c>
      <c r="C17" s="9" t="s">
        <v>73</v>
      </c>
      <c r="D17" s="9" t="s">
        <v>74</v>
      </c>
      <c r="E17" s="10">
        <v>0</v>
      </c>
      <c r="F17" s="10">
        <v>0</v>
      </c>
      <c r="G17" s="5">
        <v>3</v>
      </c>
      <c r="H17" s="5">
        <v>1</v>
      </c>
      <c r="I17" s="3">
        <f>IF(OR($E17="",$F17=""),"",IF(OR(G17="",H17=""),"",IF(AND(G17=$E17,H17=$F17),2,IF(SIGN(G17-H17)=SIGN($E17-$F17),1,0))))</f>
      </c>
      <c r="J17" s="5">
        <v>5</v>
      </c>
      <c r="K17" s="5">
        <v>0</v>
      </c>
      <c r="L17" s="3">
        <f>IF(OR($E17="",$F17=""),"",IF(OR(J17="",K17=""),"",IF(AND(J17=$E17,K17=$F17),2,IF(SIGN(J17-K17)=SIGN($E17-$F17),1,0))))</f>
      </c>
      <c r="M17" s="5">
        <v>3</v>
      </c>
      <c r="N17" s="5">
        <v>0</v>
      </c>
      <c r="O17" s="3">
        <f>IF(OR($E17="",$F17=""),"",IF(OR(M17="",N17=""),"",IF(AND(M17=$E17,N17=$F17),2,IF(SIGN(M17-N17)=SIGN($E17-$F17),1,0))))</f>
      </c>
      <c r="P17" s="5">
        <v>4</v>
      </c>
      <c r="Q17" s="5">
        <v>1</v>
      </c>
      <c r="R17" s="3">
        <f>IF(OR($E17="",$F17=""),"",IF(OR(P17="",Q17=""),"",IF(AND(P17=$E17,Q17=$F17),2,IF(SIGN(P17-Q17)=SIGN($E17-$F17),1,0))))</f>
      </c>
      <c r="S17" s="5">
        <v>4</v>
      </c>
      <c r="T17" s="5">
        <v>0</v>
      </c>
      <c r="U17" s="3">
        <f>IF(OR($E17="",$F17=""),"",IF(OR(S17="",T17=""),"",IF(AND(S17=$E17,T17=$F17),2,IF(SIGN(S17-T17)=SIGN($E17-$F17),1,0))))</f>
      </c>
      <c r="V17" s="5"/>
      <c r="W17" s="5"/>
      <c r="X17" s="3">
        <f>IF(OR($E17="",$F17=""),"",IF(OR(V17="",W17=""),"",IF(AND(V17=$E17,W17=$F17),2,IF(SIGN(V17-W17)=SIGN($E17-$F17),1,0))))</f>
      </c>
    </row>
    <row r="18" spans="1:24" x14ac:dyDescent="0.25">
      <c r="A18" s="5">
        <v>16</v>
      </c>
      <c r="B18" s="5" t="s">
        <v>72</v>
      </c>
      <c r="C18" s="9" t="s">
        <v>75</v>
      </c>
      <c r="D18" s="9" t="s">
        <v>76</v>
      </c>
      <c r="E18" s="10">
        <v>1</v>
      </c>
      <c r="F18" s="10">
        <v>1</v>
      </c>
      <c r="G18" s="5">
        <v>1</v>
      </c>
      <c r="H18" s="5">
        <v>2</v>
      </c>
      <c r="I18" s="3">
        <f>IF(OR($E18="",$F18=""),"",IF(OR(G18="",H18=""),"",IF(AND(G18=$E18,H18=$F18),2,IF(SIGN(G18-H18)=SIGN($E18-$F18),1,0))))</f>
      </c>
      <c r="J18" s="5">
        <v>1</v>
      </c>
      <c r="K18" s="5">
        <v>1</v>
      </c>
      <c r="L18" s="3">
        <f>IF(OR($E18="",$F18=""),"",IF(OR(J18="",K18=""),"",IF(AND(J18=$E18,K18=$F18),2,IF(SIGN(J18-K18)=SIGN($E18-$F18),1,0))))</f>
      </c>
      <c r="M18" s="5">
        <v>0</v>
      </c>
      <c r="N18" s="5">
        <v>2</v>
      </c>
      <c r="O18" s="3">
        <f>IF(OR($E18="",$F18=""),"",IF(OR(M18="",N18=""),"",IF(AND(M18=$E18,N18=$F18),2,IF(SIGN(M18-N18)=SIGN($E18-$F18),1,0))))</f>
      </c>
      <c r="P18" s="5">
        <v>1</v>
      </c>
      <c r="Q18" s="5">
        <v>2</v>
      </c>
      <c r="R18" s="3">
        <f>IF(OR($E18="",$F18=""),"",IF(OR(P18="",Q18=""),"",IF(AND(P18=$E18,Q18=$F18),2,IF(SIGN(P18-Q18)=SIGN($E18-$F18),1,0))))</f>
      </c>
      <c r="S18" s="5">
        <v>0</v>
      </c>
      <c r="T18" s="5">
        <v>2</v>
      </c>
      <c r="U18" s="3">
        <f>IF(OR($E18="",$F18=""),"",IF(OR(S18="",T18=""),"",IF(AND(S18=$E18,T18=$F18),2,IF(SIGN(S18-T18)=SIGN($E18-$F18),1,0))))</f>
      </c>
      <c r="V18" s="5"/>
      <c r="W18" s="5"/>
      <c r="X18" s="3">
        <f>IF(OR($E18="",$F18=""),"",IF(OR(V18="",W18=""),"",IF(AND(V18=$E18,W18=$F18),2,IF(SIGN(V18-W18)=SIGN($E18-$F18),1,0))))</f>
      </c>
    </row>
    <row r="19" spans="1:24" x14ac:dyDescent="0.25">
      <c r="A19" s="5">
        <v>17</v>
      </c>
      <c r="B19" s="5" t="s">
        <v>77</v>
      </c>
      <c r="C19" s="9" t="s">
        <v>78</v>
      </c>
      <c r="D19" s="9" t="s">
        <v>79</v>
      </c>
      <c r="E19" s="10">
        <v>3</v>
      </c>
      <c r="F19" s="10">
        <v>1</v>
      </c>
      <c r="G19" s="5">
        <v>2</v>
      </c>
      <c r="H19" s="5">
        <v>0</v>
      </c>
      <c r="I19" s="3">
        <f>IF(OR($E19="",$F19=""),"",IF(OR(G19="",H19=""),"",IF(AND(G19=$E19,H19=$F19),2,IF(SIGN(G19-H19)=SIGN($E19-$F19),1,0))))</f>
      </c>
      <c r="J19" s="5">
        <v>4</v>
      </c>
      <c r="K19" s="5">
        <v>1</v>
      </c>
      <c r="L19" s="3">
        <f>IF(OR($E19="",$F19=""),"",IF(OR(J19="",K19=""),"",IF(AND(J19=$E19,K19=$F19),2,IF(SIGN(J19-K19)=SIGN($E19-$F19),1,0))))</f>
      </c>
      <c r="M19" s="5">
        <v>2</v>
      </c>
      <c r="N19" s="5">
        <v>1</v>
      </c>
      <c r="O19" s="3">
        <f>IF(OR($E19="",$F19=""),"",IF(OR(M19="",N19=""),"",IF(AND(M19=$E19,N19=$F19),2,IF(SIGN(M19-N19)=SIGN($E19-$F19),1,0))))</f>
      </c>
      <c r="P19" s="5">
        <v>2</v>
      </c>
      <c r="Q19" s="5">
        <v>1</v>
      </c>
      <c r="R19" s="3">
        <f>IF(OR($E19="",$F19=""),"",IF(OR(P19="",Q19=""),"",IF(AND(P19=$E19,Q19=$F19),2,IF(SIGN(P19-Q19)=SIGN($E19-$F19),1,0))))</f>
      </c>
      <c r="S19" s="5">
        <v>2</v>
      </c>
      <c r="T19" s="5">
        <v>1</v>
      </c>
      <c r="U19" s="3">
        <f>IF(OR($E19="",$F19=""),"",IF(OR(S19="",T19=""),"",IF(AND(S19=$E19,T19=$F19),2,IF(SIGN(S19-T19)=SIGN($E19-$F19),1,0))))</f>
      </c>
      <c r="V19" s="5"/>
      <c r="W19" s="5"/>
      <c r="X19" s="3">
        <f>IF(OR($E19="",$F19=""),"",IF(OR(V19="",W19=""),"",IF(AND(V19=$E19,W19=$F19),2,IF(SIGN(V19-W19)=SIGN($E19-$F19),1,0))))</f>
      </c>
    </row>
    <row r="20" spans="1:24" x14ac:dyDescent="0.25">
      <c r="A20" s="5">
        <v>18</v>
      </c>
      <c r="B20" s="5" t="s">
        <v>77</v>
      </c>
      <c r="C20" s="9" t="s">
        <v>80</v>
      </c>
      <c r="D20" s="9" t="s">
        <v>81</v>
      </c>
      <c r="E20" s="10">
        <v>1</v>
      </c>
      <c r="F20" s="10">
        <v>4</v>
      </c>
      <c r="G20" s="5">
        <v>0</v>
      </c>
      <c r="H20" s="5">
        <v>1</v>
      </c>
      <c r="I20" s="3">
        <f>IF(OR($E20="",$F20=""),"",IF(OR(G20="",H20=""),"",IF(AND(G20=$E20,H20=$F20),2,IF(SIGN(G20-H20)=SIGN($E20-$F20),1,0))))</f>
      </c>
      <c r="J20" s="5"/>
      <c r="K20" s="5"/>
      <c r="L20" s="3">
        <f>IF(OR($E20="",$F20=""),"",IF(OR(J20="",K20=""),"",IF(AND(J20=$E20,K20=$F20),2,IF(SIGN(J20-K20)=SIGN($E20-$F20),1,0))))</f>
      </c>
      <c r="M20" s="5">
        <v>0</v>
      </c>
      <c r="N20" s="5">
        <v>2</v>
      </c>
      <c r="O20" s="3">
        <f>IF(OR($E20="",$F20=""),"",IF(OR(M20="",N20=""),"",IF(AND(M20=$E20,N20=$F20),2,IF(SIGN(M20-N20)=SIGN($E20-$F20),1,0))))</f>
      </c>
      <c r="P20" s="5">
        <v>0</v>
      </c>
      <c r="Q20" s="5">
        <v>2</v>
      </c>
      <c r="R20" s="3">
        <f>IF(OR($E20="",$F20=""),"",IF(OR(P20="",Q20=""),"",IF(AND(P20=$E20,Q20=$F20),2,IF(SIGN(P20-Q20)=SIGN($E20-$F20),1,0))))</f>
      </c>
      <c r="S20" s="5"/>
      <c r="T20" s="5"/>
      <c r="U20" s="3">
        <f>IF(OR($E20="",$F20=""),"",IF(OR(S20="",T20=""),"",IF(AND(S20=$E20,T20=$F20),2,IF(SIGN(S20-T20)=SIGN($E20-$F20),1,0))))</f>
      </c>
      <c r="V20" s="5"/>
      <c r="W20" s="5"/>
      <c r="X20" s="3">
        <f>IF(OR($E20="",$F20=""),"",IF(OR(V20="",W20=""),"",IF(AND(V20=$E20,W20=$F20),2,IF(SIGN(V20-W20)=SIGN($E20-$F20),1,0))))</f>
      </c>
    </row>
    <row r="21" spans="1:24" x14ac:dyDescent="0.25">
      <c r="A21" s="5">
        <v>19</v>
      </c>
      <c r="B21" s="5" t="s">
        <v>82</v>
      </c>
      <c r="C21" s="9" t="s">
        <v>83</v>
      </c>
      <c r="D21" s="9" t="s">
        <v>84</v>
      </c>
      <c r="E21" s="10">
        <v>3</v>
      </c>
      <c r="F21" s="10">
        <v>0</v>
      </c>
      <c r="G21" s="5">
        <v>2</v>
      </c>
      <c r="H21" s="5">
        <v>0</v>
      </c>
      <c r="I21" s="3">
        <f>IF(OR($E21="",$F21=""),"",IF(OR(G21="",H21=""),"",IF(AND(G21=$E21,H21=$F21),2,IF(SIGN(G21-H21)=SIGN($E21-$F21),1,0))))</f>
      </c>
      <c r="J21" s="5">
        <v>4</v>
      </c>
      <c r="K21" s="5">
        <v>0</v>
      </c>
      <c r="L21" s="3">
        <f>IF(OR($E21="",$F21=""),"",IF(OR(J21="",K21=""),"",IF(AND(J21=$E21,K21=$F21),2,IF(SIGN(J21-K21)=SIGN($E21-$F21),1,0))))</f>
      </c>
      <c r="M21" s="5">
        <v>2</v>
      </c>
      <c r="N21" s="5">
        <v>0</v>
      </c>
      <c r="O21" s="3">
        <f>IF(OR($E21="",$F21=""),"",IF(OR(M21="",N21=""),"",IF(AND(M21=$E21,N21=$F21),2,IF(SIGN(M21-N21)=SIGN($E21-$F21),1,0))))</f>
      </c>
      <c r="P21" s="5">
        <v>3</v>
      </c>
      <c r="Q21" s="5">
        <v>1</v>
      </c>
      <c r="R21" s="3">
        <f>IF(OR($E21="",$F21=""),"",IF(OR(P21="",Q21=""),"",IF(AND(P21=$E21,Q21=$F21),2,IF(SIGN(P21-Q21)=SIGN($E21-$F21),1,0))))</f>
      </c>
      <c r="S21" s="5">
        <v>2</v>
      </c>
      <c r="T21" s="5">
        <v>1</v>
      </c>
      <c r="U21" s="3">
        <f>IF(OR($E21="",$F21=""),"",IF(OR(S21="",T21=""),"",IF(AND(S21=$E21,T21=$F21),2,IF(SIGN(S21-T21)=SIGN($E21-$F21),1,0))))</f>
      </c>
      <c r="V21" s="5"/>
      <c r="W21" s="5"/>
      <c r="X21" s="3">
        <f>IF(OR($E21="",$F21=""),"",IF(OR(V21="",W21=""),"",IF(AND(V21=$E21,W21=$F21),2,IF(SIGN(V21-W21)=SIGN($E21-$F21),1,0))))</f>
      </c>
    </row>
    <row r="22" spans="1:24" x14ac:dyDescent="0.25">
      <c r="A22" s="5">
        <v>20</v>
      </c>
      <c r="B22" s="5" t="s">
        <v>82</v>
      </c>
      <c r="C22" s="9" t="s">
        <v>85</v>
      </c>
      <c r="D22" s="9" t="s">
        <v>86</v>
      </c>
      <c r="E22" s="10">
        <v>3</v>
      </c>
      <c r="F22" s="10">
        <v>1</v>
      </c>
      <c r="G22" s="5">
        <v>1</v>
      </c>
      <c r="H22" s="5">
        <v>0</v>
      </c>
      <c r="I22" s="3">
        <f>IF(OR($E22="",$F22=""),"",IF(OR(G22="",H22=""),"",IF(AND(G22=$E22,H22=$F22),2,IF(SIGN(G22-H22)=SIGN($E22-$F22),1,0))))</f>
      </c>
      <c r="J22" s="5"/>
      <c r="K22" s="5"/>
      <c r="L22" s="3">
        <f>IF(OR($E22="",$F22=""),"",IF(OR(J22="",K22=""),"",IF(AND(J22=$E22,K22=$F22),2,IF(SIGN(J22-K22)=SIGN($E22-$F22),1,0))))</f>
      </c>
      <c r="M22" s="5">
        <v>2</v>
      </c>
      <c r="N22" s="5">
        <v>0</v>
      </c>
      <c r="O22" s="3">
        <f>IF(OR($E22="",$F22=""),"",IF(OR(M22="",N22=""),"",IF(AND(M22=$E22,N22=$F22),2,IF(SIGN(M22-N22)=SIGN($E22-$F22),1,0))))</f>
      </c>
      <c r="P22" s="5">
        <v>3</v>
      </c>
      <c r="Q22" s="5">
        <v>0</v>
      </c>
      <c r="R22" s="3">
        <f>IF(OR($E22="",$F22=""),"",IF(OR(P22="",Q22=""),"",IF(AND(P22=$E22,Q22=$F22),2,IF(SIGN(P22-Q22)=SIGN($E22-$F22),1,0))))</f>
      </c>
      <c r="S22" s="5"/>
      <c r="T22" s="5"/>
      <c r="U22" s="3">
        <f>IF(OR($E22="",$F22=""),"",IF(OR(S22="",T22=""),"",IF(AND(S22=$E22,T22=$F22),2,IF(SIGN(S22-T22)=SIGN($E22-$F22),1,0))))</f>
      </c>
      <c r="V22" s="5"/>
      <c r="W22" s="5"/>
      <c r="X22" s="3">
        <f>IF(OR($E22="",$F22=""),"",IF(OR(V22="",W22=""),"",IF(AND(V22=$E22,W22=$F22),2,IF(SIGN(V22-W22)=SIGN($E22-$F22),1,0))))</f>
      </c>
    </row>
    <row r="23" spans="1:24" x14ac:dyDescent="0.25">
      <c r="A23" s="5">
        <v>21</v>
      </c>
      <c r="B23" s="5" t="s">
        <v>87</v>
      </c>
      <c r="C23" s="9" t="s">
        <v>88</v>
      </c>
      <c r="D23" s="9" t="s">
        <v>89</v>
      </c>
      <c r="E23" s="10">
        <v>1</v>
      </c>
      <c r="F23" s="10">
        <v>1</v>
      </c>
      <c r="G23" s="5">
        <v>1</v>
      </c>
      <c r="H23" s="5">
        <v>0</v>
      </c>
      <c r="I23" s="3">
        <f>IF(OR($E23="",$F23=""),"",IF(OR(G23="",H23=""),"",IF(AND(G23=$E23,H23=$F23),2,IF(SIGN(G23-H23)=SIGN($E23-$F23),1,0))))</f>
      </c>
      <c r="J23" s="5">
        <v>1</v>
      </c>
      <c r="K23" s="5">
        <v>1</v>
      </c>
      <c r="L23" s="3">
        <f>IF(OR($E23="",$F23=""),"",IF(OR(J23="",K23=""),"",IF(AND(J23=$E23,K23=$F23),2,IF(SIGN(J23-K23)=SIGN($E23-$F23),1,0))))</f>
      </c>
      <c r="M23" s="5">
        <v>2</v>
      </c>
      <c r="N23" s="5">
        <v>1</v>
      </c>
      <c r="O23" s="3">
        <f>IF(OR($E23="",$F23=""),"",IF(OR(M23="",N23=""),"",IF(AND(M23=$E23,N23=$F23),2,IF(SIGN(M23-N23)=SIGN($E23-$F23),1,0))))</f>
      </c>
      <c r="P23" s="5">
        <v>2</v>
      </c>
      <c r="Q23" s="5">
        <v>1</v>
      </c>
      <c r="R23" s="3">
        <f>IF(OR($E23="",$F23=""),"",IF(OR(P23="",Q23=""),"",IF(AND(P23=$E23,Q23=$F23),2,IF(SIGN(P23-Q23)=SIGN($E23-$F23),1,0))))</f>
      </c>
      <c r="S23" s="5"/>
      <c r="T23" s="5"/>
      <c r="U23" s="3">
        <f>IF(OR($E23="",$F23=""),"",IF(OR(S23="",T23=""),"",IF(AND(S23=$E23,T23=$F23),2,IF(SIGN(S23-T23)=SIGN($E23-$F23),1,0))))</f>
      </c>
      <c r="V23" s="5"/>
      <c r="W23" s="5"/>
      <c r="X23" s="3">
        <f>IF(OR($E23="",$F23=""),"",IF(OR(V23="",W23=""),"",IF(AND(V23=$E23,W23=$F23),2,IF(SIGN(V23-W23)=SIGN($E23-$F23),1,0))))</f>
      </c>
    </row>
    <row r="24" spans="1:24" x14ac:dyDescent="0.25">
      <c r="A24" s="5">
        <v>22</v>
      </c>
      <c r="B24" s="5" t="s">
        <v>87</v>
      </c>
      <c r="C24" s="9" t="s">
        <v>90</v>
      </c>
      <c r="D24" s="9" t="s">
        <v>91</v>
      </c>
      <c r="E24" s="10">
        <v>1</v>
      </c>
      <c r="F24" s="10">
        <v>3</v>
      </c>
      <c r="G24" s="5">
        <v>0</v>
      </c>
      <c r="H24" s="5">
        <v>2</v>
      </c>
      <c r="I24" s="3">
        <f>IF(OR($E24="",$F24=""),"",IF(OR(G24="",H24=""),"",IF(AND(G24=$E24,H24=$F24),2,IF(SIGN(G24-H24)=SIGN($E24-$F24),1,0))))</f>
      </c>
      <c r="J24" s="5">
        <v>0</v>
      </c>
      <c r="K24" s="5">
        <v>4</v>
      </c>
      <c r="L24" s="3">
        <f>IF(OR($E24="",$F24=""),"",IF(OR(J24="",K24=""),"",IF(AND(J24=$E24,K24=$F24),2,IF(SIGN(J24-K24)=SIGN($E24-$F24),1,0))))</f>
      </c>
      <c r="M24" s="5">
        <v>0</v>
      </c>
      <c r="N24" s="5">
        <v>1</v>
      </c>
      <c r="O24" s="3">
        <f>IF(OR($E24="",$F24=""),"",IF(OR(M24="",N24=""),"",IF(AND(M24=$E24,N24=$F24),2,IF(SIGN(M24-N24)=SIGN($E24-$F24),1,0))))</f>
      </c>
      <c r="P24" s="5">
        <v>0</v>
      </c>
      <c r="Q24" s="5">
        <v>4</v>
      </c>
      <c r="R24" s="3">
        <f>IF(OR($E24="",$F24=""),"",IF(OR(P24="",Q24=""),"",IF(AND(P24=$E24,Q24=$F24),2,IF(SIGN(P24-Q24)=SIGN($E24-$F24),1,0))))</f>
      </c>
      <c r="S24" s="5"/>
      <c r="T24" s="5"/>
      <c r="U24" s="3">
        <f>IF(OR($E24="",$F24=""),"",IF(OR(S24="",T24=""),"",IF(AND(S24=$E24,T24=$F24),2,IF(SIGN(S24-T24)=SIGN($E24-$F24),1,0))))</f>
      </c>
      <c r="V24" s="5"/>
      <c r="W24" s="5"/>
      <c r="X24" s="3">
        <f>IF(OR($E24="",$F24=""),"",IF(OR(V24="",W24=""),"",IF(AND(V24=$E24,W24=$F24),2,IF(SIGN(V24-W24)=SIGN($E24-$F24),1,0))))</f>
      </c>
    </row>
    <row r="25" spans="1:24" x14ac:dyDescent="0.25">
      <c r="A25" s="5">
        <v>23</v>
      </c>
      <c r="B25" s="5" t="s">
        <v>92</v>
      </c>
      <c r="C25" s="9" t="s">
        <v>93</v>
      </c>
      <c r="D25" s="9" t="s">
        <v>94</v>
      </c>
      <c r="E25" s="10">
        <v>4</v>
      </c>
      <c r="F25" s="10">
        <v>2</v>
      </c>
      <c r="G25" s="5">
        <v>1</v>
      </c>
      <c r="H25" s="5">
        <v>1</v>
      </c>
      <c r="I25" s="3">
        <f>IF(OR($E25="",$F25=""),"",IF(OR(G25="",H25=""),"",IF(AND(G25=$E25,H25=$F25),2,IF(SIGN(G25-H25)=SIGN($E25-$F25),1,0))))</f>
      </c>
      <c r="J25" s="5">
        <v>2</v>
      </c>
      <c r="K25" s="5">
        <v>2</v>
      </c>
      <c r="L25" s="3">
        <f>IF(OR($E25="",$F25=""),"",IF(OR(J25="",K25=""),"",IF(AND(J25=$E25,K25=$F25),2,IF(SIGN(J25-K25)=SIGN($E25-$F25),1,0))))</f>
      </c>
      <c r="M25" s="5">
        <v>1</v>
      </c>
      <c r="N25" s="5">
        <v>1</v>
      </c>
      <c r="O25" s="3">
        <f>IF(OR($E25="",$F25=""),"",IF(OR(M25="",N25=""),"",IF(AND(M25=$E25,N25=$F25),2,IF(SIGN(M25-N25)=SIGN($E25-$F25),1,0))))</f>
      </c>
      <c r="P25" s="5">
        <v>2</v>
      </c>
      <c r="Q25" s="5">
        <v>2</v>
      </c>
      <c r="R25" s="3">
        <f>IF(OR($E25="",$F25=""),"",IF(OR(P25="",Q25=""),"",IF(AND(P25=$E25,Q25=$F25),2,IF(SIGN(P25-Q25)=SIGN($E25-$F25),1,0))))</f>
      </c>
      <c r="S25" s="5"/>
      <c r="T25" s="5"/>
      <c r="U25" s="3">
        <f>IF(OR($E25="",$F25=""),"",IF(OR(S25="",T25=""),"",IF(AND(S25=$E25,T25=$F25),2,IF(SIGN(S25-T25)=SIGN($E25-$F25),1,0))))</f>
      </c>
      <c r="V25" s="5"/>
      <c r="W25" s="5"/>
      <c r="X25" s="3">
        <f>IF(OR($E25="",$F25=""),"",IF(OR(V25="",W25=""),"",IF(AND(V25=$E25,W25=$F25),2,IF(SIGN(V25-W25)=SIGN($E25-$F25),1,0))))</f>
      </c>
    </row>
    <row r="26" spans="1:24" x14ac:dyDescent="0.25">
      <c r="A26" s="5">
        <v>24</v>
      </c>
      <c r="B26" s="5" t="s">
        <v>92</v>
      </c>
      <c r="C26" s="9" t="s">
        <v>95</v>
      </c>
      <c r="D26" s="9" t="s">
        <v>96</v>
      </c>
      <c r="E26" s="10">
        <v>1</v>
      </c>
      <c r="F26" s="10">
        <v>0</v>
      </c>
      <c r="G26" s="5">
        <v>1</v>
      </c>
      <c r="H26" s="5">
        <v>0</v>
      </c>
      <c r="I26" s="3">
        <f>IF(OR($E26="",$F26=""),"",IF(OR(G26="",H26=""),"",IF(AND(G26=$E26,H26=$F26),2,IF(SIGN(G26-H26)=SIGN($E26-$F26),1,0))))</f>
      </c>
      <c r="J26" s="5">
        <v>2</v>
      </c>
      <c r="K26" s="5">
        <v>1</v>
      </c>
      <c r="L26" s="3">
        <f>IF(OR($E26="",$F26=""),"",IF(OR(J26="",K26=""),"",IF(AND(J26=$E26,K26=$F26),2,IF(SIGN(J26-K26)=SIGN($E26-$F26),1,0))))</f>
      </c>
      <c r="M26" s="5">
        <v>1</v>
      </c>
      <c r="N26" s="5">
        <v>1</v>
      </c>
      <c r="O26" s="3">
        <f>IF(OR($E26="",$F26=""),"",IF(OR(M26="",N26=""),"",IF(AND(M26=$E26,N26=$F26),2,IF(SIGN(M26-N26)=SIGN($E26-$F26),1,0))))</f>
      </c>
      <c r="P26" s="5">
        <v>3</v>
      </c>
      <c r="Q26" s="5">
        <v>0</v>
      </c>
      <c r="R26" s="3">
        <f>IF(OR($E26="",$F26=""),"",IF(OR(P26="",Q26=""),"",IF(AND(P26=$E26,Q26=$F26),2,IF(SIGN(P26-Q26)=SIGN($E26-$F26),1,0))))</f>
      </c>
      <c r="S26" s="5"/>
      <c r="T26" s="5"/>
      <c r="U26" s="3">
        <f>IF(OR($E26="",$F26=""),"",IF(OR(S26="",T26=""),"",IF(AND(S26=$E26,T26=$F26),2,IF(SIGN(S26-T26)=SIGN($E26-$F26),1,0))))</f>
      </c>
      <c r="V26" s="5"/>
      <c r="W26" s="5"/>
      <c r="X26" s="3">
        <f>IF(OR($E26="",$F26=""),"",IF(OR(V26="",W26=""),"",IF(AND(V26=$E26,W26=$F26),2,IF(SIGN(V26-W26)=SIGN($E26-$F26),1,0))))</f>
      </c>
    </row>
    <row r="27" spans="1:24" x14ac:dyDescent="0.25">
      <c r="A27" s="11"/>
      <c r="B27" s="11"/>
      <c r="C27" s="11"/>
      <c r="D27" s="12" t="s">
        <v>97</v>
      </c>
      <c r="E27" s="11"/>
      <c r="F27" s="11"/>
      <c r="G27" s="11"/>
      <c r="H27" s="11"/>
      <c r="I27" s="6">
        <f>SUM(I3:I26)</f>
      </c>
      <c r="J27" s="11"/>
      <c r="K27" s="11"/>
      <c r="L27" s="6">
        <f>SUM(L3:L26)</f>
      </c>
      <c r="M27" s="11"/>
      <c r="N27" s="11"/>
      <c r="O27" s="6">
        <f>SUM(O3:O26)</f>
      </c>
      <c r="P27" s="11"/>
      <c r="Q27" s="11"/>
      <c r="R27" s="6">
        <f>SUM(R3:R26)</f>
      </c>
      <c r="S27" s="11"/>
      <c r="T27" s="11"/>
      <c r="U27" s="6">
        <f>SUM(U3:U26)</f>
      </c>
      <c r="V27" s="11"/>
      <c r="W27" s="11"/>
      <c r="X27" s="6">
        <f>SUM(X3:X26)</f>
      </c>
    </row>
  </sheetData>
  <mergeCells count="8">
    <mergeCell ref="A1:D1"/>
    <mergeCell ref="E1:F1"/>
    <mergeCell ref="G1:I1"/>
    <mergeCell ref="J1:L1"/>
    <mergeCell ref="M1:O1"/>
    <mergeCell ref="P1:R1"/>
    <mergeCell ref="S1:U1"/>
    <mergeCell ref="V1:X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 showGridLines="0">
      <pane xSplit="6" ySplit="2" topLeftCell="G3" activePane="bottomRight" state="frozen"/>
      <selection pane="bottomRight"/>
    </sheetView>
  </sheetViews>
  <sheetFormatPr defaultRowHeight="15" outlineLevelRow="0" outlineLevelCol="0" x14ac:dyDescent="55"/>
  <cols>
    <col min="1" max="1" width="4" customWidth="1"/>
    <col min="2" max="2" width="6" customWidth="1"/>
    <col min="3" max="4" width="16" customWidth="1"/>
    <col min="5" max="24" width="5" customWidth="1"/>
  </cols>
  <sheetData>
    <row r="1" spans="1:24" x14ac:dyDescent="0.25">
      <c r="A1" s="8" t="s">
        <v>28</v>
      </c>
      <c r="B1" s="8"/>
      <c r="C1" s="8"/>
      <c r="D1" s="8"/>
      <c r="E1" s="8" t="s">
        <v>29</v>
      </c>
      <c r="F1" s="8"/>
      <c r="G1" s="8" t="s">
        <v>15</v>
      </c>
      <c r="H1" s="8"/>
      <c r="I1" s="8"/>
      <c r="J1" s="8" t="s">
        <v>16</v>
      </c>
      <c r="K1" s="8"/>
      <c r="L1" s="8"/>
      <c r="M1" s="8" t="s">
        <v>17</v>
      </c>
      <c r="N1" s="8"/>
      <c r="O1" s="8"/>
      <c r="P1" s="8" t="s">
        <v>18</v>
      </c>
      <c r="Q1" s="8"/>
      <c r="R1" s="8"/>
      <c r="S1" s="8" t="s">
        <v>19</v>
      </c>
      <c r="T1" s="8"/>
      <c r="U1" s="8"/>
      <c r="V1" s="8" t="s">
        <v>20</v>
      </c>
      <c r="W1" s="8"/>
      <c r="X1" s="8"/>
    </row>
    <row r="2" spans="1:24" x14ac:dyDescent="0.25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34</v>
      </c>
      <c r="H2" s="2" t="s">
        <v>35</v>
      </c>
      <c r="I2" s="2" t="s">
        <v>36</v>
      </c>
      <c r="J2" s="2" t="s">
        <v>34</v>
      </c>
      <c r="K2" s="2" t="s">
        <v>35</v>
      </c>
      <c r="L2" s="2" t="s">
        <v>36</v>
      </c>
      <c r="M2" s="2" t="s">
        <v>34</v>
      </c>
      <c r="N2" s="2" t="s">
        <v>35</v>
      </c>
      <c r="O2" s="2" t="s">
        <v>36</v>
      </c>
      <c r="P2" s="2" t="s">
        <v>34</v>
      </c>
      <c r="Q2" s="2" t="s">
        <v>35</v>
      </c>
      <c r="R2" s="2" t="s">
        <v>36</v>
      </c>
      <c r="S2" s="2" t="s">
        <v>34</v>
      </c>
      <c r="T2" s="2" t="s">
        <v>35</v>
      </c>
      <c r="U2" s="2" t="s">
        <v>36</v>
      </c>
      <c r="V2" s="2" t="s">
        <v>34</v>
      </c>
      <c r="W2" s="2" t="s">
        <v>35</v>
      </c>
      <c r="X2" s="2" t="s">
        <v>36</v>
      </c>
    </row>
    <row r="3" spans="1:24" x14ac:dyDescent="0.25">
      <c r="A3" s="5">
        <v>25</v>
      </c>
      <c r="B3" s="5" t="s">
        <v>37</v>
      </c>
      <c r="C3" s="9" t="s">
        <v>38</v>
      </c>
      <c r="D3" s="9" t="s">
        <v>40</v>
      </c>
      <c r="E3" s="10">
        <v>1</v>
      </c>
      <c r="F3" s="10">
        <v>0</v>
      </c>
      <c r="G3" s="5">
        <v>2</v>
      </c>
      <c r="H3" s="5">
        <v>1</v>
      </c>
      <c r="I3" s="3">
        <f>IF(OR($E3="",$F3=""),"",IF(OR(G3="",H3=""),"",IF(AND(G3=$E3,H3=$F3),2,IF(SIGN(G3-H3)=SIGN($E3-$F3),1,0))))</f>
      </c>
      <c r="J3" s="5"/>
      <c r="K3" s="5"/>
      <c r="L3" s="3">
        <f>IF(OR($E3="",$F3=""),"",IF(OR(J3="",K3=""),"",IF(AND(J3=$E3,K3=$F3),2,IF(SIGN(J3-K3)=SIGN($E3-$F3),1,0))))</f>
      </c>
      <c r="M3" s="5">
        <v>2</v>
      </c>
      <c r="N3" s="5">
        <v>1</v>
      </c>
      <c r="O3" s="3">
        <f>IF(OR($E3="",$F3=""),"",IF(OR(M3="",N3=""),"",IF(AND(M3=$E3,N3=$F3),2,IF(SIGN(M3-N3)=SIGN($E3-$F3),1,0))))</f>
      </c>
      <c r="P3" s="5">
        <v>0</v>
      </c>
      <c r="Q3" s="5">
        <v>1</v>
      </c>
      <c r="R3" s="3">
        <f>IF(OR($E3="",$F3=""),"",IF(OR(P3="",Q3=""),"",IF(AND(P3=$E3,Q3=$F3),2,IF(SIGN(P3-Q3)=SIGN($E3-$F3),1,0))))</f>
      </c>
      <c r="S3" s="5">
        <v>2</v>
      </c>
      <c r="T3" s="5">
        <v>2</v>
      </c>
      <c r="U3" s="3">
        <f>IF(OR($E3="",$F3=""),"",IF(OR(S3="",T3=""),"",IF(AND(S3=$E3,T3=$F3),2,IF(SIGN(S3-T3)=SIGN($E3-$F3),1,0))))</f>
      </c>
      <c r="V3" s="5"/>
      <c r="W3" s="5"/>
      <c r="X3" s="3">
        <f>IF(OR($E3="",$F3=""),"",IF(OR(V3="",W3=""),"",IF(AND(V3=$E3,W3=$F3),2,IF(SIGN(V3-W3)=SIGN($E3-$F3),1,0))))</f>
      </c>
    </row>
    <row r="4" spans="1:24" x14ac:dyDescent="0.25">
      <c r="A4" s="5">
        <v>26</v>
      </c>
      <c r="B4" s="5" t="s">
        <v>37</v>
      </c>
      <c r="C4" s="9" t="s">
        <v>41</v>
      </c>
      <c r="D4" s="9" t="s">
        <v>39</v>
      </c>
      <c r="E4" s="10">
        <v>1</v>
      </c>
      <c r="F4" s="10">
        <v>1</v>
      </c>
      <c r="G4" s="5">
        <v>1</v>
      </c>
      <c r="H4" s="5">
        <v>1</v>
      </c>
      <c r="I4" s="3">
        <f>IF(OR($E4="",$F4=""),"",IF(OR(G4="",H4=""),"",IF(AND(G4=$E4,H4=$F4),2,IF(SIGN(G4-H4)=SIGN($E4-$F4),1,0))))</f>
      </c>
      <c r="J4" s="5"/>
      <c r="K4" s="5"/>
      <c r="L4" s="3">
        <f>IF(OR($E4="",$F4=""),"",IF(OR(J4="",K4=""),"",IF(AND(J4=$E4,K4=$F4),2,IF(SIGN(J4-K4)=SIGN($E4-$F4),1,0))))</f>
      </c>
      <c r="M4" s="5">
        <v>1</v>
      </c>
      <c r="N4" s="5">
        <v>1</v>
      </c>
      <c r="O4" s="3">
        <f>IF(OR($E4="",$F4=""),"",IF(OR(M4="",N4=""),"",IF(AND(M4=$E4,N4=$F4),2,IF(SIGN(M4-N4)=SIGN($E4-$F4),1,0))))</f>
      </c>
      <c r="P4" s="5">
        <v>1</v>
      </c>
      <c r="Q4" s="5">
        <v>0</v>
      </c>
      <c r="R4" s="3">
        <f>IF(OR($E4="",$F4=""),"",IF(OR(P4="",Q4=""),"",IF(AND(P4=$E4,Q4=$F4),2,IF(SIGN(P4-Q4)=SIGN($E4-$F4),1,0))))</f>
      </c>
      <c r="S4" s="5">
        <v>2</v>
      </c>
      <c r="T4" s="5">
        <v>1</v>
      </c>
      <c r="U4" s="3">
        <f>IF(OR($E4="",$F4=""),"",IF(OR(S4="",T4=""),"",IF(AND(S4=$E4,T4=$F4),2,IF(SIGN(S4-T4)=SIGN($E4-$F4),1,0))))</f>
      </c>
      <c r="V4" s="5"/>
      <c r="W4" s="5"/>
      <c r="X4" s="3">
        <f>IF(OR($E4="",$F4=""),"",IF(OR(V4="",W4=""),"",IF(AND(V4=$E4,W4=$F4),2,IF(SIGN(V4-W4)=SIGN($E4-$F4),1,0))))</f>
      </c>
    </row>
    <row r="5" spans="1:24" x14ac:dyDescent="0.25">
      <c r="A5" s="5">
        <v>27</v>
      </c>
      <c r="B5" s="5" t="s">
        <v>42</v>
      </c>
      <c r="C5" s="9" t="s">
        <v>43</v>
      </c>
      <c r="D5" s="9" t="s">
        <v>45</v>
      </c>
      <c r="E5" s="10">
        <v>6</v>
      </c>
      <c r="F5" s="10">
        <v>0</v>
      </c>
      <c r="G5" s="5">
        <v>3</v>
      </c>
      <c r="H5" s="5">
        <v>0</v>
      </c>
      <c r="I5" s="3">
        <f>IF(OR($E5="",$F5=""),"",IF(OR(G5="",H5=""),"",IF(AND(G5=$E5,H5=$F5),2,IF(SIGN(G5-H5)=SIGN($E5-$F5),1,0))))</f>
      </c>
      <c r="J5" s="5"/>
      <c r="K5" s="5"/>
      <c r="L5" s="3">
        <f>IF(OR($E5="",$F5=""),"",IF(OR(J5="",K5=""),"",IF(AND(J5=$E5,K5=$F5),2,IF(SIGN(J5-K5)=SIGN($E5-$F5),1,0))))</f>
      </c>
      <c r="M5" s="5">
        <v>2</v>
      </c>
      <c r="N5" s="5">
        <v>0</v>
      </c>
      <c r="O5" s="3">
        <f>IF(OR($E5="",$F5=""),"",IF(OR(M5="",N5=""),"",IF(AND(M5=$E5,N5=$F5),2,IF(SIGN(M5-N5)=SIGN($E5-$F5),1,0))))</f>
      </c>
      <c r="P5" s="5">
        <v>0</v>
      </c>
      <c r="Q5" s="5">
        <v>1</v>
      </c>
      <c r="R5" s="3">
        <f>IF(OR($E5="",$F5=""),"",IF(OR(P5="",Q5=""),"",IF(AND(P5=$E5,Q5=$F5),2,IF(SIGN(P5-Q5)=SIGN($E5-$F5),1,0))))</f>
      </c>
      <c r="S5" s="5">
        <v>2</v>
      </c>
      <c r="T5" s="5">
        <v>0</v>
      </c>
      <c r="U5" s="3">
        <f>IF(OR($E5="",$F5=""),"",IF(OR(S5="",T5=""),"",IF(AND(S5=$E5,T5=$F5),2,IF(SIGN(S5-T5)=SIGN($E5-$F5),1,0))))</f>
      </c>
      <c r="V5" s="5"/>
      <c r="W5" s="5"/>
      <c r="X5" s="3">
        <f>IF(OR($E5="",$F5=""),"",IF(OR(V5="",W5=""),"",IF(AND(V5=$E5,W5=$F5),2,IF(SIGN(V5-W5)=SIGN($E5-$F5),1,0))))</f>
      </c>
    </row>
    <row r="6" spans="1:24" x14ac:dyDescent="0.25">
      <c r="A6" s="5">
        <v>28</v>
      </c>
      <c r="B6" s="5" t="s">
        <v>42</v>
      </c>
      <c r="C6" s="9" t="s">
        <v>46</v>
      </c>
      <c r="D6" s="9" t="s">
        <v>44</v>
      </c>
      <c r="E6" s="10">
        <v>4</v>
      </c>
      <c r="F6" s="10">
        <v>1</v>
      </c>
      <c r="G6" s="5">
        <v>2</v>
      </c>
      <c r="H6" s="5">
        <v>1</v>
      </c>
      <c r="I6" s="3">
        <f>IF(OR($E6="",$F6=""),"",IF(OR(G6="",H6=""),"",IF(AND(G6=$E6,H6=$F6),2,IF(SIGN(G6-H6)=SIGN($E6-$F6),1,0))))</f>
      </c>
      <c r="J6" s="5">
        <v>1</v>
      </c>
      <c r="K6" s="5">
        <v>0</v>
      </c>
      <c r="L6" s="3">
        <f>IF(OR($E6="",$F6=""),"",IF(OR(J6="",K6=""),"",IF(AND(J6=$E6,K6=$F6),2,IF(SIGN(J6-K6)=SIGN($E6-$F6),1,0))))</f>
      </c>
      <c r="M6" s="5">
        <v>2</v>
      </c>
      <c r="N6" s="5">
        <v>1</v>
      </c>
      <c r="O6" s="3">
        <f>IF(OR($E6="",$F6=""),"",IF(OR(M6="",N6=""),"",IF(AND(M6=$E6,N6=$F6),2,IF(SIGN(M6-N6)=SIGN($E6-$F6),1,0))))</f>
      </c>
      <c r="P6" s="5">
        <v>1</v>
      </c>
      <c r="Q6" s="5">
        <v>1</v>
      </c>
      <c r="R6" s="3">
        <f>IF(OR($E6="",$F6=""),"",IF(OR(P6="",Q6=""),"",IF(AND(P6=$E6,Q6=$F6),2,IF(SIGN(P6-Q6)=SIGN($E6-$F6),1,0))))</f>
      </c>
      <c r="S6" s="5">
        <v>2</v>
      </c>
      <c r="T6" s="5">
        <v>1</v>
      </c>
      <c r="U6" s="3">
        <f>IF(OR($E6="",$F6=""),"",IF(OR(S6="",T6=""),"",IF(AND(S6=$E6,T6=$F6),2,IF(SIGN(S6-T6)=SIGN($E6-$F6),1,0))))</f>
      </c>
      <c r="V6" s="5"/>
      <c r="W6" s="5"/>
      <c r="X6" s="3">
        <f>IF(OR($E6="",$F6=""),"",IF(OR(V6="",W6=""),"",IF(AND(V6=$E6,W6=$F6),2,IF(SIGN(V6-W6)=SIGN($E6-$F6),1,0))))</f>
      </c>
    </row>
    <row r="7" spans="1:24" x14ac:dyDescent="0.25">
      <c r="A7" s="5">
        <v>29</v>
      </c>
      <c r="B7" s="5" t="s">
        <v>47</v>
      </c>
      <c r="C7" s="9" t="s">
        <v>48</v>
      </c>
      <c r="D7" s="9" t="s">
        <v>50</v>
      </c>
      <c r="E7" s="10">
        <v>3</v>
      </c>
      <c r="F7" s="10">
        <v>0</v>
      </c>
      <c r="G7" s="5">
        <v>4</v>
      </c>
      <c r="H7" s="5">
        <v>0</v>
      </c>
      <c r="I7" s="3">
        <f>IF(OR($E7="",$F7=""),"",IF(OR(G7="",H7=""),"",IF(AND(G7=$E7,H7=$F7),2,IF(SIGN(G7-H7)=SIGN($E7-$F7),1,0))))</f>
      </c>
      <c r="J7" s="5">
        <v>5</v>
      </c>
      <c r="K7" s="5">
        <v>1</v>
      </c>
      <c r="L7" s="3">
        <f>IF(OR($E7="",$F7=""),"",IF(OR(J7="",K7=""),"",IF(AND(J7=$E7,K7=$F7),2,IF(SIGN(J7-K7)=SIGN($E7-$F7),1,0))))</f>
      </c>
      <c r="M7" s="5">
        <v>4</v>
      </c>
      <c r="N7" s="5">
        <v>0</v>
      </c>
      <c r="O7" s="3">
        <f>IF(OR($E7="",$F7=""),"",IF(OR(M7="",N7=""),"",IF(AND(M7=$E7,N7=$F7),2,IF(SIGN(M7-N7)=SIGN($E7-$F7),1,0))))</f>
      </c>
      <c r="P7" s="5">
        <v>5</v>
      </c>
      <c r="Q7" s="5">
        <v>0</v>
      </c>
      <c r="R7" s="3">
        <f>IF(OR($E7="",$F7=""),"",IF(OR(P7="",Q7=""),"",IF(AND(P7=$E7,Q7=$F7),2,IF(SIGN(P7-Q7)=SIGN($E7-$F7),1,0))))</f>
      </c>
      <c r="S7" s="5">
        <v>4</v>
      </c>
      <c r="T7" s="5">
        <v>0</v>
      </c>
      <c r="U7" s="3">
        <f>IF(OR($E7="",$F7=""),"",IF(OR(S7="",T7=""),"",IF(AND(S7=$E7,T7=$F7),2,IF(SIGN(S7-T7)=SIGN($E7-$F7),1,0))))</f>
      </c>
      <c r="V7" s="5"/>
      <c r="W7" s="5"/>
      <c r="X7" s="3">
        <f>IF(OR($E7="",$F7=""),"",IF(OR(V7="",W7=""),"",IF(AND(V7=$E7,W7=$F7),2,IF(SIGN(V7-W7)=SIGN($E7-$F7),1,0))))</f>
      </c>
    </row>
    <row r="8" spans="1:24" x14ac:dyDescent="0.25">
      <c r="A8" s="5">
        <v>30</v>
      </c>
      <c r="B8" s="5" t="s">
        <v>47</v>
      </c>
      <c r="C8" s="9" t="s">
        <v>51</v>
      </c>
      <c r="D8" s="9" t="s">
        <v>49</v>
      </c>
      <c r="E8" s="10">
        <v>0</v>
      </c>
      <c r="F8" s="10">
        <v>1</v>
      </c>
      <c r="G8" s="5">
        <v>0</v>
      </c>
      <c r="H8" s="5">
        <v>3</v>
      </c>
      <c r="I8" s="3">
        <f>IF(OR($E8="",$F8=""),"",IF(OR(G8="",H8=""),"",IF(AND(G8=$E8,H8=$F8),2,IF(SIGN(G8-H8)=SIGN($E8-$F8),1,0))))</f>
      </c>
      <c r="J8" s="5">
        <v>2</v>
      </c>
      <c r="K8" s="5">
        <v>1</v>
      </c>
      <c r="L8" s="3">
        <f>IF(OR($E8="",$F8=""),"",IF(OR(J8="",K8=""),"",IF(AND(J8=$E8,K8=$F8),2,IF(SIGN(J8-K8)=SIGN($E8-$F8),1,0))))</f>
      </c>
      <c r="M8" s="5">
        <v>1</v>
      </c>
      <c r="N8" s="5">
        <v>2</v>
      </c>
      <c r="O8" s="3">
        <f>IF(OR($E8="",$F8=""),"",IF(OR(M8="",N8=""),"",IF(AND(M8=$E8,N8=$F8),2,IF(SIGN(M8-N8)=SIGN($E8-$F8),1,0))))</f>
      </c>
      <c r="P8" s="5">
        <v>1</v>
      </c>
      <c r="Q8" s="5">
        <v>2</v>
      </c>
      <c r="R8" s="3">
        <f>IF(OR($E8="",$F8=""),"",IF(OR(P8="",Q8=""),"",IF(AND(P8=$E8,Q8=$F8),2,IF(SIGN(P8-Q8)=SIGN($E8-$F8),1,0))))</f>
      </c>
      <c r="S8" s="5">
        <v>1</v>
      </c>
      <c r="T8" s="5">
        <v>2</v>
      </c>
      <c r="U8" s="3">
        <f>IF(OR($E8="",$F8=""),"",IF(OR(S8="",T8=""),"",IF(AND(S8=$E8,T8=$F8),2,IF(SIGN(S8-T8)=SIGN($E8-$F8),1,0))))</f>
      </c>
      <c r="V8" s="5"/>
      <c r="W8" s="5"/>
      <c r="X8" s="3">
        <f>IF(OR($E8="",$F8=""),"",IF(OR(V8="",W8=""),"",IF(AND(V8=$E8,W8=$F8),2,IF(SIGN(V8-W8)=SIGN($E8-$F8),1,0))))</f>
      </c>
    </row>
    <row r="9" spans="1:24" x14ac:dyDescent="0.25">
      <c r="A9" s="5">
        <v>31</v>
      </c>
      <c r="B9" s="5" t="s">
        <v>52</v>
      </c>
      <c r="C9" s="9" t="s">
        <v>53</v>
      </c>
      <c r="D9" s="9" t="s">
        <v>55</v>
      </c>
      <c r="E9" s="10">
        <v>2</v>
      </c>
      <c r="F9" s="10">
        <v>0</v>
      </c>
      <c r="G9" s="5">
        <v>2</v>
      </c>
      <c r="H9" s="5">
        <v>0</v>
      </c>
      <c r="I9" s="3">
        <f>IF(OR($E9="",$F9=""),"",IF(OR(G9="",H9=""),"",IF(AND(G9=$E9,H9=$F9),2,IF(SIGN(G9-H9)=SIGN($E9-$F9),1,0))))</f>
      </c>
      <c r="J9" s="5">
        <v>1</v>
      </c>
      <c r="K9" s="5">
        <v>1</v>
      </c>
      <c r="L9" s="3">
        <f>IF(OR($E9="",$F9=""),"",IF(OR(J9="",K9=""),"",IF(AND(J9=$E9,K9=$F9),2,IF(SIGN(J9-K9)=SIGN($E9-$F9),1,0))))</f>
      </c>
      <c r="M9" s="5">
        <v>2</v>
      </c>
      <c r="N9" s="5">
        <v>0</v>
      </c>
      <c r="O9" s="3">
        <f>IF(OR($E9="",$F9=""),"",IF(OR(M9="",N9=""),"",IF(AND(M9=$E9,N9=$F9),2,IF(SIGN(M9-N9)=SIGN($E9-$F9),1,0))))</f>
      </c>
      <c r="P9" s="5">
        <v>2</v>
      </c>
      <c r="Q9" s="5">
        <v>0</v>
      </c>
      <c r="R9" s="3">
        <f>IF(OR($E9="",$F9=""),"",IF(OR(P9="",Q9=""),"",IF(AND(P9=$E9,Q9=$F9),2,IF(SIGN(P9-Q9)=SIGN($E9-$F9),1,0))))</f>
      </c>
      <c r="S9" s="5">
        <v>3</v>
      </c>
      <c r="T9" s="5">
        <v>1</v>
      </c>
      <c r="U9" s="3">
        <f>IF(OR($E9="",$F9=""),"",IF(OR(S9="",T9=""),"",IF(AND(S9=$E9,T9=$F9),2,IF(SIGN(S9-T9)=SIGN($E9-$F9),1,0))))</f>
      </c>
      <c r="V9" s="5"/>
      <c r="W9" s="5"/>
      <c r="X9" s="3">
        <f>IF(OR($E9="",$F9=""),"",IF(OR(V9="",W9=""),"",IF(AND(V9=$E9,W9=$F9),2,IF(SIGN(V9-W9)=SIGN($E9-$F9),1,0))))</f>
      </c>
    </row>
    <row r="10" spans="1:24" x14ac:dyDescent="0.25">
      <c r="A10" s="5">
        <v>32</v>
      </c>
      <c r="B10" s="5" t="s">
        <v>52</v>
      </c>
      <c r="C10" s="9" t="s">
        <v>56</v>
      </c>
      <c r="D10" s="9" t="s">
        <v>54</v>
      </c>
      <c r="E10" s="10">
        <v>0</v>
      </c>
      <c r="F10" s="10">
        <v>1</v>
      </c>
      <c r="G10" s="5">
        <v>2</v>
      </c>
      <c r="H10" s="5">
        <v>1</v>
      </c>
      <c r="I10" s="3">
        <f>IF(OR($E10="",$F10=""),"",IF(OR(G10="",H10=""),"",IF(AND(G10=$E10,H10=$F10),2,IF(SIGN(G10-H10)=SIGN($E10-$F10),1,0))))</f>
      </c>
      <c r="J10" s="5">
        <v>2</v>
      </c>
      <c r="K10" s="5">
        <v>1</v>
      </c>
      <c r="L10" s="3">
        <f>IF(OR($E10="",$F10=""),"",IF(OR(J10="",K10=""),"",IF(AND(J10=$E10,K10=$F10),2,IF(SIGN(J10-K10)=SIGN($E10-$F10),1,0))))</f>
      </c>
      <c r="M10" s="5">
        <v>2</v>
      </c>
      <c r="N10" s="5">
        <v>1</v>
      </c>
      <c r="O10" s="3">
        <f>IF(OR($E10="",$F10=""),"",IF(OR(M10="",N10=""),"",IF(AND(M10=$E10,N10=$F10),2,IF(SIGN(M10-N10)=SIGN($E10-$F10),1,0))))</f>
      </c>
      <c r="P10" s="5">
        <v>1</v>
      </c>
      <c r="Q10" s="5">
        <v>1</v>
      </c>
      <c r="R10" s="3">
        <f>IF(OR($E10="",$F10=""),"",IF(OR(P10="",Q10=""),"",IF(AND(P10=$E10,Q10=$F10),2,IF(SIGN(P10-Q10)=SIGN($E10-$F10),1,0))))</f>
      </c>
      <c r="S10" s="5">
        <v>2</v>
      </c>
      <c r="T10" s="5">
        <v>1</v>
      </c>
      <c r="U10" s="3">
        <f>IF(OR($E10="",$F10=""),"",IF(OR(S10="",T10=""),"",IF(AND(S10=$E10,T10=$F10),2,IF(SIGN(S10-T10)=SIGN($E10-$F10),1,0))))</f>
      </c>
      <c r="V10" s="5"/>
      <c r="W10" s="5"/>
      <c r="X10" s="3">
        <f>IF(OR($E10="",$F10=""),"",IF(OR(V10="",W10=""),"",IF(AND(V10=$E10,W10=$F10),2,IF(SIGN(V10-W10)=SIGN($E10-$F10),1,0))))</f>
      </c>
    </row>
    <row r="11" spans="1:24" x14ac:dyDescent="0.25">
      <c r="A11" s="5">
        <v>33</v>
      </c>
      <c r="B11" s="5" t="s">
        <v>57</v>
      </c>
      <c r="C11" s="9" t="s">
        <v>58</v>
      </c>
      <c r="D11" s="9" t="s">
        <v>60</v>
      </c>
      <c r="E11" s="10">
        <v>2</v>
      </c>
      <c r="F11" s="10">
        <v>1</v>
      </c>
      <c r="G11" s="5">
        <v>3</v>
      </c>
      <c r="H11" s="5">
        <v>1</v>
      </c>
      <c r="I11" s="3">
        <f>IF(OR($E11="",$F11=""),"",IF(OR(G11="",H11=""),"",IF(AND(G11=$E11,H11=$F11),2,IF(SIGN(G11-H11)=SIGN($E11-$F11),1,0))))</f>
      </c>
      <c r="J11" s="5">
        <v>2</v>
      </c>
      <c r="K11" s="5">
        <v>0</v>
      </c>
      <c r="L11" s="3">
        <f>IF(OR($E11="",$F11=""),"",IF(OR(J11="",K11=""),"",IF(AND(J11=$E11,K11=$F11),2,IF(SIGN(J11-K11)=SIGN($E11-$F11),1,0))))</f>
      </c>
      <c r="M11" s="5">
        <v>3</v>
      </c>
      <c r="N11" s="5">
        <v>1</v>
      </c>
      <c r="O11" s="3">
        <f>IF(OR($E11="",$F11=""),"",IF(OR(M11="",N11=""),"",IF(AND(M11=$E11,N11=$F11),2,IF(SIGN(M11-N11)=SIGN($E11-$F11),1,0))))</f>
      </c>
      <c r="P11" s="5">
        <v>2</v>
      </c>
      <c r="Q11" s="5">
        <v>0</v>
      </c>
      <c r="R11" s="3">
        <f>IF(OR($E11="",$F11=""),"",IF(OR(P11="",Q11=""),"",IF(AND(P11=$E11,Q11=$F11),2,IF(SIGN(P11-Q11)=SIGN($E11-$F11),1,0))))</f>
      </c>
      <c r="S11" s="5">
        <v>2</v>
      </c>
      <c r="T11" s="5">
        <v>1</v>
      </c>
      <c r="U11" s="3">
        <f>IF(OR($E11="",$F11=""),"",IF(OR(S11="",T11=""),"",IF(AND(S11=$E11,T11=$F11),2,IF(SIGN(S11-T11)=SIGN($E11-$F11),1,0))))</f>
      </c>
      <c r="V11" s="5"/>
      <c r="W11" s="5"/>
      <c r="X11" s="3">
        <f>IF(OR($E11="",$F11=""),"",IF(OR(V11="",W11=""),"",IF(AND(V11=$E11,W11=$F11),2,IF(SIGN(V11-W11)=SIGN($E11-$F11),1,0))))</f>
      </c>
    </row>
    <row r="12" spans="1:24" x14ac:dyDescent="0.25">
      <c r="A12" s="5">
        <v>34</v>
      </c>
      <c r="B12" s="5" t="s">
        <v>57</v>
      </c>
      <c r="C12" s="9" t="s">
        <v>61</v>
      </c>
      <c r="D12" s="9" t="s">
        <v>59</v>
      </c>
      <c r="E12" s="10">
        <v>0</v>
      </c>
      <c r="F12" s="10">
        <v>0</v>
      </c>
      <c r="G12" s="5">
        <v>2</v>
      </c>
      <c r="H12" s="5">
        <v>0</v>
      </c>
      <c r="I12" s="3">
        <f>IF(OR($E12="",$F12=""),"",IF(OR(G12="",H12=""),"",IF(AND(G12=$E12,H12=$F12),2,IF(SIGN(G12-H12)=SIGN($E12-$F12),1,0))))</f>
      </c>
      <c r="J12" s="5">
        <v>1</v>
      </c>
      <c r="K12" s="5">
        <v>0</v>
      </c>
      <c r="L12" s="3">
        <f>IF(OR($E12="",$F12=""),"",IF(OR(J12="",K12=""),"",IF(AND(J12=$E12,K12=$F12),2,IF(SIGN(J12-K12)=SIGN($E12-$F12),1,0))))</f>
      </c>
      <c r="M12" s="5">
        <v>2</v>
      </c>
      <c r="N12" s="5">
        <v>0</v>
      </c>
      <c r="O12" s="3">
        <f>IF(OR($E12="",$F12=""),"",IF(OR(M12="",N12=""),"",IF(AND(M12=$E12,N12=$F12),2,IF(SIGN(M12-N12)=SIGN($E12-$F12),1,0))))</f>
      </c>
      <c r="P12" s="5">
        <v>3</v>
      </c>
      <c r="Q12" s="5">
        <v>0</v>
      </c>
      <c r="R12" s="3">
        <f>IF(OR($E12="",$F12=""),"",IF(OR(P12="",Q12=""),"",IF(AND(P12=$E12,Q12=$F12),2,IF(SIGN(P12-Q12)=SIGN($E12-$F12),1,0))))</f>
      </c>
      <c r="S12" s="5">
        <v>3</v>
      </c>
      <c r="T12" s="5">
        <v>0</v>
      </c>
      <c r="U12" s="3">
        <f>IF(OR($E12="",$F12=""),"",IF(OR(S12="",T12=""),"",IF(AND(S12=$E12,T12=$F12),2,IF(SIGN(S12-T12)=SIGN($E12-$F12),1,0))))</f>
      </c>
      <c r="V12" s="5"/>
      <c r="W12" s="5"/>
      <c r="X12" s="3">
        <f>IF(OR($E12="",$F12=""),"",IF(OR(V12="",W12=""),"",IF(AND(V12=$E12,W12=$F12),2,IF(SIGN(V12-W12)=SIGN($E12-$F12),1,0))))</f>
      </c>
    </row>
    <row r="13" spans="1:24" x14ac:dyDescent="0.25">
      <c r="A13" s="5">
        <v>35</v>
      </c>
      <c r="B13" s="5" t="s">
        <v>62</v>
      </c>
      <c r="C13" s="9" t="s">
        <v>63</v>
      </c>
      <c r="D13" s="9" t="s">
        <v>65</v>
      </c>
      <c r="E13" s="10">
        <v>5</v>
      </c>
      <c r="F13" s="10">
        <v>1</v>
      </c>
      <c r="G13" s="5">
        <v>3</v>
      </c>
      <c r="H13" s="5">
        <v>1</v>
      </c>
      <c r="I13" s="3">
        <f>IF(OR($E13="",$F13=""),"",IF(OR(G13="",H13=""),"",IF(AND(G13=$E13,H13=$F13),2,IF(SIGN(G13-H13)=SIGN($E13-$F13),1,0))))</f>
      </c>
      <c r="J13" s="5">
        <v>2</v>
      </c>
      <c r="K13" s="5">
        <v>1</v>
      </c>
      <c r="L13" s="3">
        <f>IF(OR($E13="",$F13=""),"",IF(OR(J13="",K13=""),"",IF(AND(J13=$E13,K13=$F13),2,IF(SIGN(J13-K13)=SIGN($E13-$F13),1,0))))</f>
      </c>
      <c r="M13" s="5">
        <v>2</v>
      </c>
      <c r="N13" s="5">
        <v>1</v>
      </c>
      <c r="O13" s="3">
        <f>IF(OR($E13="",$F13=""),"",IF(OR(M13="",N13=""),"",IF(AND(M13=$E13,N13=$F13),2,IF(SIGN(M13-N13)=SIGN($E13-$F13),1,0))))</f>
      </c>
      <c r="P13" s="5">
        <v>1</v>
      </c>
      <c r="Q13" s="5">
        <v>2</v>
      </c>
      <c r="R13" s="3">
        <f>IF(OR($E13="",$F13=""),"",IF(OR(P13="",Q13=""),"",IF(AND(P13=$E13,Q13=$F13),2,IF(SIGN(P13-Q13)=SIGN($E13-$F13),1,0))))</f>
      </c>
      <c r="S13" s="5">
        <v>2</v>
      </c>
      <c r="T13" s="5">
        <v>1</v>
      </c>
      <c r="U13" s="3">
        <f>IF(OR($E13="",$F13=""),"",IF(OR(S13="",T13=""),"",IF(AND(S13=$E13,T13=$F13),2,IF(SIGN(S13-T13)=SIGN($E13-$F13),1,0))))</f>
      </c>
      <c r="V13" s="5"/>
      <c r="W13" s="5"/>
      <c r="X13" s="3">
        <f>IF(OR($E13="",$F13=""),"",IF(OR(V13="",W13=""),"",IF(AND(V13=$E13,W13=$F13),2,IF(SIGN(V13-W13)=SIGN($E13-$F13),1,0))))</f>
      </c>
    </row>
    <row r="14" spans="1:24" x14ac:dyDescent="0.25">
      <c r="A14" s="5">
        <v>36</v>
      </c>
      <c r="B14" s="5" t="s">
        <v>62</v>
      </c>
      <c r="C14" s="9" t="s">
        <v>66</v>
      </c>
      <c r="D14" s="9" t="s">
        <v>64</v>
      </c>
      <c r="E14" s="10">
        <v>0</v>
      </c>
      <c r="F14" s="10">
        <v>4</v>
      </c>
      <c r="G14" s="5">
        <v>1</v>
      </c>
      <c r="H14" s="5">
        <v>3</v>
      </c>
      <c r="I14" s="3">
        <f>IF(OR($E14="",$F14=""),"",IF(OR(G14="",H14=""),"",IF(AND(G14=$E14,H14=$F14),2,IF(SIGN(G14-H14)=SIGN($E14-$F14),1,0))))</f>
      </c>
      <c r="J14" s="5">
        <v>1</v>
      </c>
      <c r="K14" s="5">
        <v>2</v>
      </c>
      <c r="L14" s="3">
        <f>IF(OR($E14="",$F14=""),"",IF(OR(J14="",K14=""),"",IF(AND(J14=$E14,K14=$F14),2,IF(SIGN(J14-K14)=SIGN($E14-$F14),1,0))))</f>
      </c>
      <c r="M14" s="5">
        <v>1</v>
      </c>
      <c r="N14" s="5">
        <v>1</v>
      </c>
      <c r="O14" s="3">
        <f>IF(OR($E14="",$F14=""),"",IF(OR(M14="",N14=""),"",IF(AND(M14=$E14,N14=$F14),2,IF(SIGN(M14-N14)=SIGN($E14-$F14),1,0))))</f>
      </c>
      <c r="P14" s="5">
        <v>1</v>
      </c>
      <c r="Q14" s="5">
        <v>2</v>
      </c>
      <c r="R14" s="3">
        <f>IF(OR($E14="",$F14=""),"",IF(OR(P14="",Q14=""),"",IF(AND(P14=$E14,Q14=$F14),2,IF(SIGN(P14-Q14)=SIGN($E14-$F14),1,0))))</f>
      </c>
      <c r="S14" s="5">
        <v>1</v>
      </c>
      <c r="T14" s="5">
        <v>2</v>
      </c>
      <c r="U14" s="3">
        <f>IF(OR($E14="",$F14=""),"",IF(OR(S14="",T14=""),"",IF(AND(S14=$E14,T14=$F14),2,IF(SIGN(S14-T14)=SIGN($E14-$F14),1,0))))</f>
      </c>
      <c r="V14" s="5"/>
      <c r="W14" s="5"/>
      <c r="X14" s="3">
        <f>IF(OR($E14="",$F14=""),"",IF(OR(V14="",W14=""),"",IF(AND(V14=$E14,W14=$F14),2,IF(SIGN(V14-W14)=SIGN($E14-$F14),1,0))))</f>
      </c>
    </row>
    <row r="15" spans="1:24" x14ac:dyDescent="0.25">
      <c r="A15" s="5">
        <v>37</v>
      </c>
      <c r="B15" s="5" t="s">
        <v>67</v>
      </c>
      <c r="C15" s="9" t="s">
        <v>68</v>
      </c>
      <c r="D15" s="9" t="s">
        <v>70</v>
      </c>
      <c r="E15" s="10">
        <v>0</v>
      </c>
      <c r="F15" s="10">
        <v>0</v>
      </c>
      <c r="G15" s="5">
        <v>2</v>
      </c>
      <c r="H15" s="5">
        <v>0</v>
      </c>
      <c r="I15" s="3">
        <f>IF(OR($E15="",$F15=""),"",IF(OR(G15="",H15=""),"",IF(AND(G15=$E15,H15=$F15),2,IF(SIGN(G15-H15)=SIGN($E15-$F15),1,0))))</f>
      </c>
      <c r="J15" s="5">
        <v>2</v>
      </c>
      <c r="K15" s="5">
        <v>0</v>
      </c>
      <c r="L15" s="3">
        <f>IF(OR($E15="",$F15=""),"",IF(OR(J15="",K15=""),"",IF(AND(J15=$E15,K15=$F15),2,IF(SIGN(J15-K15)=SIGN($E15-$F15),1,0))))</f>
      </c>
      <c r="M15" s="5">
        <v>2</v>
      </c>
      <c r="N15" s="5">
        <v>0</v>
      </c>
      <c r="O15" s="3">
        <f>IF(OR($E15="",$F15=""),"",IF(OR(M15="",N15=""),"",IF(AND(M15=$E15,N15=$F15),2,IF(SIGN(M15-N15)=SIGN($E15-$F15),1,0))))</f>
      </c>
      <c r="P15" s="5">
        <v>3</v>
      </c>
      <c r="Q15" s="5">
        <v>1</v>
      </c>
      <c r="R15" s="3">
        <f>IF(OR($E15="",$F15=""),"",IF(OR(P15="",Q15=""),"",IF(AND(P15=$E15,Q15=$F15),2,IF(SIGN(P15-Q15)=SIGN($E15-$F15),1,0))))</f>
      </c>
      <c r="S15" s="5">
        <v>2</v>
      </c>
      <c r="T15" s="5">
        <v>2</v>
      </c>
      <c r="U15" s="3">
        <f>IF(OR($E15="",$F15=""),"",IF(OR(S15="",T15=""),"",IF(AND(S15=$E15,T15=$F15),2,IF(SIGN(S15-T15)=SIGN($E15-$F15),1,0))))</f>
      </c>
      <c r="V15" s="5"/>
      <c r="W15" s="5"/>
      <c r="X15" s="3">
        <f>IF(OR($E15="",$F15=""),"",IF(OR(V15="",W15=""),"",IF(AND(V15=$E15,W15=$F15),2,IF(SIGN(V15-W15)=SIGN($E15-$F15),1,0))))</f>
      </c>
    </row>
    <row r="16" spans="1:24" x14ac:dyDescent="0.25">
      <c r="A16" s="5">
        <v>38</v>
      </c>
      <c r="B16" s="5" t="s">
        <v>67</v>
      </c>
      <c r="C16" s="9" t="s">
        <v>71</v>
      </c>
      <c r="D16" s="9" t="s">
        <v>69</v>
      </c>
      <c r="E16" s="10">
        <v>1</v>
      </c>
      <c r="F16" s="10">
        <v>3</v>
      </c>
      <c r="G16" s="5">
        <v>0</v>
      </c>
      <c r="H16" s="5">
        <v>2</v>
      </c>
      <c r="I16" s="3">
        <f>IF(OR($E16="",$F16=""),"",IF(OR(G16="",H16=""),"",IF(AND(G16=$E16,H16=$F16),2,IF(SIGN(G16-H16)=SIGN($E16-$F16),1,0))))</f>
      </c>
      <c r="J16" s="5">
        <v>1</v>
      </c>
      <c r="K16" s="5">
        <v>0</v>
      </c>
      <c r="L16" s="3">
        <f>IF(OR($E16="",$F16=""),"",IF(OR(J16="",K16=""),"",IF(AND(J16=$E16,K16=$F16),2,IF(SIGN(J16-K16)=SIGN($E16-$F16),1,0))))</f>
      </c>
      <c r="M16" s="5">
        <v>0</v>
      </c>
      <c r="N16" s="5">
        <v>2</v>
      </c>
      <c r="O16" s="3">
        <f>IF(OR($E16="",$F16=""),"",IF(OR(M16="",N16=""),"",IF(AND(M16=$E16,N16=$F16),2,IF(SIGN(M16-N16)=SIGN($E16-$F16),1,0))))</f>
      </c>
      <c r="P16" s="5">
        <v>0</v>
      </c>
      <c r="Q16" s="5">
        <v>3</v>
      </c>
      <c r="R16" s="3">
        <f>IF(OR($E16="",$F16=""),"",IF(OR(P16="",Q16=""),"",IF(AND(P16=$E16,Q16=$F16),2,IF(SIGN(P16-Q16)=SIGN($E16-$F16),1,0))))</f>
      </c>
      <c r="S16" s="5">
        <v>1</v>
      </c>
      <c r="T16" s="5">
        <v>2</v>
      </c>
      <c r="U16" s="3">
        <f>IF(OR($E16="",$F16=""),"",IF(OR(S16="",T16=""),"",IF(AND(S16=$E16,T16=$F16),2,IF(SIGN(S16-T16)=SIGN($E16-$F16),1,0))))</f>
      </c>
      <c r="V16" s="5"/>
      <c r="W16" s="5"/>
      <c r="X16" s="3">
        <f>IF(OR($E16="",$F16=""),"",IF(OR(V16="",W16=""),"",IF(AND(V16=$E16,W16=$F16),2,IF(SIGN(V16-W16)=SIGN($E16-$F16),1,0))))</f>
      </c>
    </row>
    <row r="17" spans="1:24" x14ac:dyDescent="0.25">
      <c r="A17" s="5">
        <v>39</v>
      </c>
      <c r="B17" s="5" t="s">
        <v>72</v>
      </c>
      <c r="C17" s="9" t="s">
        <v>73</v>
      </c>
      <c r="D17" s="9" t="s">
        <v>75</v>
      </c>
      <c r="E17" s="10">
        <v>4</v>
      </c>
      <c r="F17" s="10">
        <v>0</v>
      </c>
      <c r="G17" s="5">
        <v>4</v>
      </c>
      <c r="H17" s="5">
        <v>0</v>
      </c>
      <c r="I17" s="3">
        <f>IF(OR($E17="",$F17=""),"",IF(OR(G17="",H17=""),"",IF(AND(G17=$E17,H17=$F17),2,IF(SIGN(G17-H17)=SIGN($E17-$F17),1,0))))</f>
      </c>
      <c r="J17" s="5">
        <v>1</v>
      </c>
      <c r="K17" s="5">
        <v>0</v>
      </c>
      <c r="L17" s="3">
        <f>IF(OR($E17="",$F17=""),"",IF(OR(J17="",K17=""),"",IF(AND(J17=$E17,K17=$F17),2,IF(SIGN(J17-K17)=SIGN($E17-$F17),1,0))))</f>
      </c>
      <c r="M17" s="5">
        <v>4</v>
      </c>
      <c r="N17" s="5">
        <v>0</v>
      </c>
      <c r="O17" s="3">
        <f>IF(OR($E17="",$F17=""),"",IF(OR(M17="",N17=""),"",IF(AND(M17=$E17,N17=$F17),2,IF(SIGN(M17-N17)=SIGN($E17-$F17),1,0))))</f>
      </c>
      <c r="P17" s="5">
        <v>4</v>
      </c>
      <c r="Q17" s="5">
        <v>1</v>
      </c>
      <c r="R17" s="3">
        <f>IF(OR($E17="",$F17=""),"",IF(OR(P17="",Q17=""),"",IF(AND(P17=$E17,Q17=$F17),2,IF(SIGN(P17-Q17)=SIGN($E17-$F17),1,0))))</f>
      </c>
      <c r="S17" s="5">
        <v>3</v>
      </c>
      <c r="T17" s="5">
        <v>0</v>
      </c>
      <c r="U17" s="3">
        <f>IF(OR($E17="",$F17=""),"",IF(OR(S17="",T17=""),"",IF(AND(S17=$E17,T17=$F17),2,IF(SIGN(S17-T17)=SIGN($E17-$F17),1,0))))</f>
      </c>
      <c r="V17" s="5"/>
      <c r="W17" s="5"/>
      <c r="X17" s="3">
        <f>IF(OR($E17="",$F17=""),"",IF(OR(V17="",W17=""),"",IF(AND(V17=$E17,W17=$F17),2,IF(SIGN(V17-W17)=SIGN($E17-$F17),1,0))))</f>
      </c>
    </row>
    <row r="18" spans="1:24" x14ac:dyDescent="0.25">
      <c r="A18" s="5">
        <v>40</v>
      </c>
      <c r="B18" s="5" t="s">
        <v>72</v>
      </c>
      <c r="C18" s="9" t="s">
        <v>76</v>
      </c>
      <c r="D18" s="9" t="s">
        <v>74</v>
      </c>
      <c r="E18" s="10">
        <v>2</v>
      </c>
      <c r="F18" s="10">
        <v>2</v>
      </c>
      <c r="G18" s="5">
        <v>3</v>
      </c>
      <c r="H18" s="5">
        <v>1</v>
      </c>
      <c r="I18" s="3">
        <f>IF(OR($E18="",$F18=""),"",IF(OR(G18="",H18=""),"",IF(AND(G18=$E18,H18=$F18),2,IF(SIGN(G18-H18)=SIGN($E18-$F18),1,0))))</f>
      </c>
      <c r="J18" s="5">
        <v>0</v>
      </c>
      <c r="K18" s="5">
        <v>0</v>
      </c>
      <c r="L18" s="3">
        <f>IF(OR($E18="",$F18=""),"",IF(OR(J18="",K18=""),"",IF(AND(J18=$E18,K18=$F18),2,IF(SIGN(J18-K18)=SIGN($E18-$F18),1,0))))</f>
      </c>
      <c r="M18" s="5">
        <v>2</v>
      </c>
      <c r="N18" s="5">
        <v>0</v>
      </c>
      <c r="O18" s="3">
        <f>IF(OR($E18="",$F18=""),"",IF(OR(M18="",N18=""),"",IF(AND(M18=$E18,N18=$F18),2,IF(SIGN(M18-N18)=SIGN($E18-$F18),1,0))))</f>
      </c>
      <c r="P18" s="5">
        <v>3</v>
      </c>
      <c r="Q18" s="5">
        <v>0</v>
      </c>
      <c r="R18" s="3">
        <f>IF(OR($E18="",$F18=""),"",IF(OR(P18="",Q18=""),"",IF(AND(P18=$E18,Q18=$F18),2,IF(SIGN(P18-Q18)=SIGN($E18-$F18),1,0))))</f>
      </c>
      <c r="S18" s="5">
        <v>3</v>
      </c>
      <c r="T18" s="5">
        <v>0</v>
      </c>
      <c r="U18" s="3">
        <f>IF(OR($E18="",$F18=""),"",IF(OR(S18="",T18=""),"",IF(AND(S18=$E18,T18=$F18),2,IF(SIGN(S18-T18)=SIGN($E18-$F18),1,0))))</f>
      </c>
      <c r="V18" s="5"/>
      <c r="W18" s="5"/>
      <c r="X18" s="3">
        <f>IF(OR($E18="",$F18=""),"",IF(OR(V18="",W18=""),"",IF(AND(V18=$E18,W18=$F18),2,IF(SIGN(V18-W18)=SIGN($E18-$F18),1,0))))</f>
      </c>
    </row>
    <row r="19" spans="1:24" x14ac:dyDescent="0.25">
      <c r="A19" s="5">
        <v>41</v>
      </c>
      <c r="B19" s="5" t="s">
        <v>77</v>
      </c>
      <c r="C19" s="9" t="s">
        <v>78</v>
      </c>
      <c r="D19" s="9" t="s">
        <v>80</v>
      </c>
      <c r="E19" s="10">
        <v>3</v>
      </c>
      <c r="F19" s="10">
        <v>0</v>
      </c>
      <c r="G19" s="5">
        <v>6</v>
      </c>
      <c r="H19" s="5">
        <v>1</v>
      </c>
      <c r="I19" s="3">
        <f>IF(OR($E19="",$F19=""),"",IF(OR(G19="",H19=""),"",IF(AND(G19=$E19,H19=$F19),2,IF(SIGN(G19-H19)=SIGN($E19-$F19),1,0))))</f>
      </c>
      <c r="J19" s="5">
        <v>2</v>
      </c>
      <c r="K19" s="5">
        <v>1</v>
      </c>
      <c r="L19" s="3">
        <f>IF(OR($E19="",$F19=""),"",IF(OR(J19="",K19=""),"",IF(AND(J19=$E19,K19=$F19),2,IF(SIGN(J19-K19)=SIGN($E19-$F19),1,0))))</f>
      </c>
      <c r="M19" s="5">
        <v>4</v>
      </c>
      <c r="N19" s="5">
        <v>0</v>
      </c>
      <c r="O19" s="3">
        <f>IF(OR($E19="",$F19=""),"",IF(OR(M19="",N19=""),"",IF(AND(M19=$E19,N19=$F19),2,IF(SIGN(M19-N19)=SIGN($E19-$F19),1,0))))</f>
      </c>
      <c r="P19" s="5">
        <v>3</v>
      </c>
      <c r="Q19" s="5">
        <v>1</v>
      </c>
      <c r="R19" s="3">
        <f>IF(OR($E19="",$F19=""),"",IF(OR(P19="",Q19=""),"",IF(AND(P19=$E19,Q19=$F19),2,IF(SIGN(P19-Q19)=SIGN($E19-$F19),1,0))))</f>
      </c>
      <c r="S19" s="5">
        <v>3</v>
      </c>
      <c r="T19" s="5">
        <v>0</v>
      </c>
      <c r="U19" s="3">
        <f>IF(OR($E19="",$F19=""),"",IF(OR(S19="",T19=""),"",IF(AND(S19=$E19,T19=$F19),2,IF(SIGN(S19-T19)=SIGN($E19-$F19),1,0))))</f>
      </c>
      <c r="V19" s="5"/>
      <c r="W19" s="5"/>
      <c r="X19" s="3">
        <f>IF(OR($E19="",$F19=""),"",IF(OR(V19="",W19=""),"",IF(AND(V19=$E19,W19=$F19),2,IF(SIGN(V19-W19)=SIGN($E19-$F19),1,0))))</f>
      </c>
    </row>
    <row r="20" spans="1:24" x14ac:dyDescent="0.25">
      <c r="A20" s="5">
        <v>42</v>
      </c>
      <c r="B20" s="5" t="s">
        <v>77</v>
      </c>
      <c r="C20" s="9" t="s">
        <v>81</v>
      </c>
      <c r="D20" s="9" t="s">
        <v>79</v>
      </c>
      <c r="E20" s="10">
        <v>3</v>
      </c>
      <c r="F20" s="10">
        <v>2</v>
      </c>
      <c r="G20" s="5">
        <v>1</v>
      </c>
      <c r="H20" s="5">
        <v>2</v>
      </c>
      <c r="I20" s="3">
        <f>IF(OR($E20="",$F20=""),"",IF(OR(G20="",H20=""),"",IF(AND(G20=$E20,H20=$F20),2,IF(SIGN(G20-H20)=SIGN($E20-$F20),1,0))))</f>
      </c>
      <c r="J20" s="5">
        <v>2</v>
      </c>
      <c r="K20" s="5">
        <v>1</v>
      </c>
      <c r="L20" s="3">
        <f>IF(OR($E20="",$F20=""),"",IF(OR(J20="",K20=""),"",IF(AND(J20=$E20,K20=$F20),2,IF(SIGN(J20-K20)=SIGN($E20-$F20),1,0))))</f>
      </c>
      <c r="M20" s="5">
        <v>2</v>
      </c>
      <c r="N20" s="5">
        <v>1</v>
      </c>
      <c r="O20" s="3">
        <f>IF(OR($E20="",$F20=""),"",IF(OR(M20="",N20=""),"",IF(AND(M20=$E20,N20=$F20),2,IF(SIGN(M20-N20)=SIGN($E20-$F20),1,0))))</f>
      </c>
      <c r="P20" s="5">
        <v>1</v>
      </c>
      <c r="Q20" s="5">
        <v>0</v>
      </c>
      <c r="R20" s="3">
        <f>IF(OR($E20="",$F20=""),"",IF(OR(P20="",Q20=""),"",IF(AND(P20=$E20,Q20=$F20),2,IF(SIGN(P20-Q20)=SIGN($E20-$F20),1,0))))</f>
      </c>
      <c r="S20" s="5">
        <v>1</v>
      </c>
      <c r="T20" s="5">
        <v>1</v>
      </c>
      <c r="U20" s="3">
        <f>IF(OR($E20="",$F20=""),"",IF(OR(S20="",T20=""),"",IF(AND(S20=$E20,T20=$F20),2,IF(SIGN(S20-T20)=SIGN($E20-$F20),1,0))))</f>
      </c>
      <c r="V20" s="5"/>
      <c r="W20" s="5"/>
      <c r="X20" s="3">
        <f>IF(OR($E20="",$F20=""),"",IF(OR(V20="",W20=""),"",IF(AND(V20=$E20,W20=$F20),2,IF(SIGN(V20-W20)=SIGN($E20-$F20),1,0))))</f>
      </c>
    </row>
    <row r="21" spans="1:24" x14ac:dyDescent="0.25">
      <c r="A21" s="5">
        <v>43</v>
      </c>
      <c r="B21" s="5" t="s">
        <v>82</v>
      </c>
      <c r="C21" s="9" t="s">
        <v>83</v>
      </c>
      <c r="D21" s="9" t="s">
        <v>85</v>
      </c>
      <c r="E21" s="10">
        <v>2</v>
      </c>
      <c r="F21" s="10">
        <v>0</v>
      </c>
      <c r="G21" s="5">
        <v>2</v>
      </c>
      <c r="H21" s="5">
        <v>1</v>
      </c>
      <c r="I21" s="3">
        <f>IF(OR($E21="",$F21=""),"",IF(OR(G21="",H21=""),"",IF(AND(G21=$E21,H21=$F21),2,IF(SIGN(G21-H21)=SIGN($E21-$F21),1,0))))</f>
      </c>
      <c r="J21" s="5">
        <v>2</v>
      </c>
      <c r="K21" s="5">
        <v>1</v>
      </c>
      <c r="L21" s="3">
        <f>IF(OR($E21="",$F21=""),"",IF(OR(J21="",K21=""),"",IF(AND(J21=$E21,K21=$F21),2,IF(SIGN(J21-K21)=SIGN($E21-$F21),1,0))))</f>
      </c>
      <c r="M21" s="5">
        <v>2</v>
      </c>
      <c r="N21" s="5">
        <v>1</v>
      </c>
      <c r="O21" s="3">
        <f>IF(OR($E21="",$F21=""),"",IF(OR(M21="",N21=""),"",IF(AND(M21=$E21,N21=$F21),2,IF(SIGN(M21-N21)=SIGN($E21-$F21),1,0))))</f>
      </c>
      <c r="P21" s="5">
        <v>3</v>
      </c>
      <c r="Q21" s="5">
        <v>2</v>
      </c>
      <c r="R21" s="3">
        <f>IF(OR($E21="",$F21=""),"",IF(OR(P21="",Q21=""),"",IF(AND(P21=$E21,Q21=$F21),2,IF(SIGN(P21-Q21)=SIGN($E21-$F21),1,0))))</f>
      </c>
      <c r="S21" s="5">
        <v>3</v>
      </c>
      <c r="T21" s="5">
        <v>1</v>
      </c>
      <c r="U21" s="3">
        <f>IF(OR($E21="",$F21=""),"",IF(OR(S21="",T21=""),"",IF(AND(S21=$E21,T21=$F21),2,IF(SIGN(S21-T21)=SIGN($E21-$F21),1,0))))</f>
      </c>
      <c r="V21" s="5"/>
      <c r="W21" s="5"/>
      <c r="X21" s="3">
        <f>IF(OR($E21="",$F21=""),"",IF(OR(V21="",W21=""),"",IF(AND(V21=$E21,W21=$F21),2,IF(SIGN(V21-W21)=SIGN($E21-$F21),1,0))))</f>
      </c>
    </row>
    <row r="22" spans="1:24" x14ac:dyDescent="0.25">
      <c r="A22" s="5">
        <v>44</v>
      </c>
      <c r="B22" s="5" t="s">
        <v>82</v>
      </c>
      <c r="C22" s="9" t="s">
        <v>86</v>
      </c>
      <c r="D22" s="9" t="s">
        <v>84</v>
      </c>
      <c r="E22" s="10">
        <v>1</v>
      </c>
      <c r="F22" s="10">
        <v>2</v>
      </c>
      <c r="G22" s="5">
        <v>0</v>
      </c>
      <c r="H22" s="5">
        <v>2</v>
      </c>
      <c r="I22" s="3">
        <f>IF(OR($E22="",$F22=""),"",IF(OR(G22="",H22=""),"",IF(AND(G22=$E22,H22=$F22),2,IF(SIGN(G22-H22)=SIGN($E22-$F22),1,0))))</f>
      </c>
      <c r="J22" s="5">
        <v>1</v>
      </c>
      <c r="K22" s="5">
        <v>1</v>
      </c>
      <c r="L22" s="3">
        <f>IF(OR($E22="",$F22=""),"",IF(OR(J22="",K22=""),"",IF(AND(J22=$E22,K22=$F22),2,IF(SIGN(J22-K22)=SIGN($E22-$F22),1,0))))</f>
      </c>
      <c r="M22" s="5">
        <v>1</v>
      </c>
      <c r="N22" s="5">
        <v>1</v>
      </c>
      <c r="O22" s="3">
        <f>IF(OR($E22="",$F22=""),"",IF(OR(M22="",N22=""),"",IF(AND(M22=$E22,N22=$F22),2,IF(SIGN(M22-N22)=SIGN($E22-$F22),1,0))))</f>
      </c>
      <c r="P22" s="5">
        <v>0</v>
      </c>
      <c r="Q22" s="5">
        <v>2</v>
      </c>
      <c r="R22" s="3">
        <f>IF(OR($E22="",$F22=""),"",IF(OR(P22="",Q22=""),"",IF(AND(P22=$E22,Q22=$F22),2,IF(SIGN(P22-Q22)=SIGN($E22-$F22),1,0))))</f>
      </c>
      <c r="S22" s="5">
        <v>1</v>
      </c>
      <c r="T22" s="5">
        <v>1</v>
      </c>
      <c r="U22" s="3">
        <f>IF(OR($E22="",$F22=""),"",IF(OR(S22="",T22=""),"",IF(AND(S22=$E22,T22=$F22),2,IF(SIGN(S22-T22)=SIGN($E22-$F22),1,0))))</f>
      </c>
      <c r="V22" s="5"/>
      <c r="W22" s="5"/>
      <c r="X22" s="3">
        <f>IF(OR($E22="",$F22=""),"",IF(OR(V22="",W22=""),"",IF(AND(V22=$E22,W22=$F22),2,IF(SIGN(V22-W22)=SIGN($E22-$F22),1,0))))</f>
      </c>
    </row>
    <row r="23" spans="1:24" x14ac:dyDescent="0.25">
      <c r="A23" s="5">
        <v>45</v>
      </c>
      <c r="B23" s="5" t="s">
        <v>87</v>
      </c>
      <c r="C23" s="9" t="s">
        <v>88</v>
      </c>
      <c r="D23" s="9" t="s">
        <v>90</v>
      </c>
      <c r="E23" s="10">
        <v>5</v>
      </c>
      <c r="F23" s="10">
        <v>0</v>
      </c>
      <c r="G23" s="5">
        <v>4</v>
      </c>
      <c r="H23" s="5">
        <v>0</v>
      </c>
      <c r="I23" s="3">
        <f>IF(OR($E23="",$F23=""),"",IF(OR(G23="",H23=""),"",IF(AND(G23=$E23,H23=$F23),2,IF(SIGN(G23-H23)=SIGN($E23-$F23),1,0))))</f>
      </c>
      <c r="J23" s="5">
        <v>3</v>
      </c>
      <c r="K23" s="5">
        <v>0</v>
      </c>
      <c r="L23" s="3">
        <f>IF(OR($E23="",$F23=""),"",IF(OR(J23="",K23=""),"",IF(AND(J23=$E23,K23=$F23),2,IF(SIGN(J23-K23)=SIGN($E23-$F23),1,0))))</f>
      </c>
      <c r="M23" s="5">
        <v>3</v>
      </c>
      <c r="N23" s="5">
        <v>0</v>
      </c>
      <c r="O23" s="3">
        <f>IF(OR($E23="",$F23=""),"",IF(OR(M23="",N23=""),"",IF(AND(M23=$E23,N23=$F23),2,IF(SIGN(M23-N23)=SIGN($E23-$F23),1,0))))</f>
      </c>
      <c r="P23" s="5">
        <v>3</v>
      </c>
      <c r="Q23" s="5">
        <v>0</v>
      </c>
      <c r="R23" s="3">
        <f>IF(OR($E23="",$F23=""),"",IF(OR(P23="",Q23=""),"",IF(AND(P23=$E23,Q23=$F23),2,IF(SIGN(P23-Q23)=SIGN($E23-$F23),1,0))))</f>
      </c>
      <c r="S23" s="5">
        <v>3</v>
      </c>
      <c r="T23" s="5">
        <v>0</v>
      </c>
      <c r="U23" s="3">
        <f>IF(OR($E23="",$F23=""),"",IF(OR(S23="",T23=""),"",IF(AND(S23=$E23,T23=$F23),2,IF(SIGN(S23-T23)=SIGN($E23-$F23),1,0))))</f>
      </c>
      <c r="V23" s="5"/>
      <c r="W23" s="5"/>
      <c r="X23" s="3">
        <f>IF(OR($E23="",$F23=""),"",IF(OR(V23="",W23=""),"",IF(AND(V23=$E23,W23=$F23),2,IF(SIGN(V23-W23)=SIGN($E23-$F23),1,0))))</f>
      </c>
    </row>
    <row r="24" spans="1:24" x14ac:dyDescent="0.25">
      <c r="A24" s="5">
        <v>46</v>
      </c>
      <c r="B24" s="5" t="s">
        <v>87</v>
      </c>
      <c r="C24" s="9" t="s">
        <v>91</v>
      </c>
      <c r="D24" s="9" t="s">
        <v>89</v>
      </c>
      <c r="E24" s="10">
        <v>1</v>
      </c>
      <c r="F24" s="10">
        <v>0</v>
      </c>
      <c r="G24" s="5">
        <v>3</v>
      </c>
      <c r="H24" s="5">
        <v>1</v>
      </c>
      <c r="I24" s="3">
        <f>IF(OR($E24="",$F24=""),"",IF(OR(G24="",H24=""),"",IF(AND(G24=$E24,H24=$F24),2,IF(SIGN(G24-H24)=SIGN($E24-$F24),1,0))))</f>
      </c>
      <c r="J24" s="5">
        <v>1</v>
      </c>
      <c r="K24" s="5">
        <v>0</v>
      </c>
      <c r="L24" s="3">
        <f>IF(OR($E24="",$F24=""),"",IF(OR(J24="",K24=""),"",IF(AND(J24=$E24,K24=$F24),2,IF(SIGN(J24-K24)=SIGN($E24-$F24),1,0))))</f>
      </c>
      <c r="M24" s="5">
        <v>2</v>
      </c>
      <c r="N24" s="5">
        <v>1</v>
      </c>
      <c r="O24" s="3">
        <f>IF(OR($E24="",$F24=""),"",IF(OR(M24="",N24=""),"",IF(AND(M24=$E24,N24=$F24),2,IF(SIGN(M24-N24)=SIGN($E24-$F24),1,0))))</f>
      </c>
      <c r="P24" s="5">
        <v>2</v>
      </c>
      <c r="Q24" s="5">
        <v>1</v>
      </c>
      <c r="R24" s="3">
        <f>IF(OR($E24="",$F24=""),"",IF(OR(P24="",Q24=""),"",IF(AND(P24=$E24,Q24=$F24),2,IF(SIGN(P24-Q24)=SIGN($E24-$F24),1,0))))</f>
      </c>
      <c r="S24" s="5">
        <v>2</v>
      </c>
      <c r="T24" s="5">
        <v>1</v>
      </c>
      <c r="U24" s="3">
        <f>IF(OR($E24="",$F24=""),"",IF(OR(S24="",T24=""),"",IF(AND(S24=$E24,T24=$F24),2,IF(SIGN(S24-T24)=SIGN($E24-$F24),1,0))))</f>
      </c>
      <c r="V24" s="5"/>
      <c r="W24" s="5"/>
      <c r="X24" s="3">
        <f>IF(OR($E24="",$F24=""),"",IF(OR(V24="",W24=""),"",IF(AND(V24=$E24,W24=$F24),2,IF(SIGN(V24-W24)=SIGN($E24-$F24),1,0))))</f>
      </c>
    </row>
    <row r="25" spans="1:24" x14ac:dyDescent="0.25">
      <c r="A25" s="5">
        <v>47</v>
      </c>
      <c r="B25" s="5" t="s">
        <v>92</v>
      </c>
      <c r="C25" s="9" t="s">
        <v>93</v>
      </c>
      <c r="D25" s="9" t="s">
        <v>95</v>
      </c>
      <c r="E25" s="10">
        <v>0</v>
      </c>
      <c r="F25" s="10">
        <v>0</v>
      </c>
      <c r="G25" s="5">
        <v>3</v>
      </c>
      <c r="H25" s="5">
        <v>0</v>
      </c>
      <c r="I25" s="3">
        <f>IF(OR($E25="",$F25=""),"",IF(OR(G25="",H25=""),"",IF(AND(G25=$E25,H25=$F25),2,IF(SIGN(G25-H25)=SIGN($E25-$F25),1,0))))</f>
      </c>
      <c r="J25" s="5">
        <v>2</v>
      </c>
      <c r="K25" s="5">
        <v>0</v>
      </c>
      <c r="L25" s="3">
        <f>IF(OR($E25="",$F25=""),"",IF(OR(J25="",K25=""),"",IF(AND(J25=$E25,K25=$F25),2,IF(SIGN(J25-K25)=SIGN($E25-$F25),1,0))))</f>
      </c>
      <c r="M25" s="5">
        <v>3</v>
      </c>
      <c r="N25" s="5">
        <v>0</v>
      </c>
      <c r="O25" s="3">
        <f>IF(OR($E25="",$F25=""),"",IF(OR(M25="",N25=""),"",IF(AND(M25=$E25,N25=$F25),2,IF(SIGN(M25-N25)=SIGN($E25-$F25),1,0))))</f>
      </c>
      <c r="P25" s="5">
        <v>2</v>
      </c>
      <c r="Q25" s="5">
        <v>1</v>
      </c>
      <c r="R25" s="3">
        <f>IF(OR($E25="",$F25=""),"",IF(OR(P25="",Q25=""),"",IF(AND(P25=$E25,Q25=$F25),2,IF(SIGN(P25-Q25)=SIGN($E25-$F25),1,0))))</f>
      </c>
      <c r="S25" s="5">
        <v>2</v>
      </c>
      <c r="T25" s="5">
        <v>0</v>
      </c>
      <c r="U25" s="3">
        <f>IF(OR($E25="",$F25=""),"",IF(OR(S25="",T25=""),"",IF(AND(S25=$E25,T25=$F25),2,IF(SIGN(S25-T25)=SIGN($E25-$F25),1,0))))</f>
      </c>
      <c r="V25" s="5"/>
      <c r="W25" s="5"/>
      <c r="X25" s="3">
        <f>IF(OR($E25="",$F25=""),"",IF(OR(V25="",W25=""),"",IF(AND(V25=$E25,W25=$F25),2,IF(SIGN(V25-W25)=SIGN($E25-$F25),1,0))))</f>
      </c>
    </row>
    <row r="26" spans="1:24" x14ac:dyDescent="0.25">
      <c r="A26" s="5">
        <v>48</v>
      </c>
      <c r="B26" s="5" t="s">
        <v>92</v>
      </c>
      <c r="C26" s="9" t="s">
        <v>96</v>
      </c>
      <c r="D26" s="9" t="s">
        <v>94</v>
      </c>
      <c r="E26" s="10">
        <v>0</v>
      </c>
      <c r="F26" s="10">
        <v>1</v>
      </c>
      <c r="G26" s="5">
        <v>1</v>
      </c>
      <c r="H26" s="5">
        <v>3</v>
      </c>
      <c r="I26" s="3">
        <f>IF(OR($E26="",$F26=""),"",IF(OR(G26="",H26=""),"",IF(AND(G26=$E26,H26=$F26),2,IF(SIGN(G26-H26)=SIGN($E26-$F26),1,0))))</f>
      </c>
      <c r="J26" s="5">
        <v>0</v>
      </c>
      <c r="K26" s="5">
        <v>2</v>
      </c>
      <c r="L26" s="3">
        <f>IF(OR($E26="",$F26=""),"",IF(OR(J26="",K26=""),"",IF(AND(J26=$E26,K26=$F26),2,IF(SIGN(J26-K26)=SIGN($E26-$F26),1,0))))</f>
      </c>
      <c r="M26" s="5">
        <v>1</v>
      </c>
      <c r="N26" s="5">
        <v>2</v>
      </c>
      <c r="O26" s="3">
        <f>IF(OR($E26="",$F26=""),"",IF(OR(M26="",N26=""),"",IF(AND(M26=$E26,N26=$F26),2,IF(SIGN(M26-N26)=SIGN($E26-$F26),1,0))))</f>
      </c>
      <c r="P26" s="5">
        <v>0</v>
      </c>
      <c r="Q26" s="5">
        <v>4</v>
      </c>
      <c r="R26" s="3">
        <f>IF(OR($E26="",$F26=""),"",IF(OR(P26="",Q26=""),"",IF(AND(P26=$E26,Q26=$F26),2,IF(SIGN(P26-Q26)=SIGN($E26-$F26),1,0))))</f>
      </c>
      <c r="S26" s="5">
        <v>1</v>
      </c>
      <c r="T26" s="5">
        <v>2</v>
      </c>
      <c r="U26" s="3">
        <f>IF(OR($E26="",$F26=""),"",IF(OR(S26="",T26=""),"",IF(AND(S26=$E26,T26=$F26),2,IF(SIGN(S26-T26)=SIGN($E26-$F26),1,0))))</f>
      </c>
      <c r="V26" s="5"/>
      <c r="W26" s="5"/>
      <c r="X26" s="3">
        <f>IF(OR($E26="",$F26=""),"",IF(OR(V26="",W26=""),"",IF(AND(V26=$E26,W26=$F26),2,IF(SIGN(V26-W26)=SIGN($E26-$F26),1,0))))</f>
      </c>
    </row>
    <row r="27" spans="1:24" x14ac:dyDescent="0.25">
      <c r="A27" s="11"/>
      <c r="B27" s="11"/>
      <c r="C27" s="11"/>
      <c r="D27" s="12" t="s">
        <v>97</v>
      </c>
      <c r="E27" s="11"/>
      <c r="F27" s="11"/>
      <c r="G27" s="11"/>
      <c r="H27" s="11"/>
      <c r="I27" s="6">
        <f>SUM(I3:I26)</f>
      </c>
      <c r="J27" s="11"/>
      <c r="K27" s="11"/>
      <c r="L27" s="6">
        <f>SUM(L3:L26)</f>
      </c>
      <c r="M27" s="11"/>
      <c r="N27" s="11"/>
      <c r="O27" s="6">
        <f>SUM(O3:O26)</f>
      </c>
      <c r="P27" s="11"/>
      <c r="Q27" s="11"/>
      <c r="R27" s="6">
        <f>SUM(R3:R26)</f>
      </c>
      <c r="S27" s="11"/>
      <c r="T27" s="11"/>
      <c r="U27" s="6">
        <f>SUM(U3:U26)</f>
      </c>
      <c r="V27" s="11"/>
      <c r="W27" s="11"/>
      <c r="X27" s="6">
        <f>SUM(X3:X26)</f>
      </c>
    </row>
  </sheetData>
  <mergeCells count="8">
    <mergeCell ref="A1:D1"/>
    <mergeCell ref="E1:F1"/>
    <mergeCell ref="G1:I1"/>
    <mergeCell ref="J1:L1"/>
    <mergeCell ref="M1:O1"/>
    <mergeCell ref="P1:R1"/>
    <mergeCell ref="S1:U1"/>
    <mergeCell ref="V1:X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 showGridLines="0">
      <pane xSplit="6" ySplit="2" topLeftCell="G3" activePane="bottomRight" state="frozen"/>
      <selection pane="bottomRight"/>
    </sheetView>
  </sheetViews>
  <sheetFormatPr defaultRowHeight="15" outlineLevelRow="0" outlineLevelCol="0" x14ac:dyDescent="55"/>
  <cols>
    <col min="1" max="1" width="4" customWidth="1"/>
    <col min="2" max="2" width="6" customWidth="1"/>
    <col min="3" max="4" width="16" customWidth="1"/>
    <col min="5" max="24" width="5" customWidth="1"/>
  </cols>
  <sheetData>
    <row r="1" spans="1:24" x14ac:dyDescent="0.25">
      <c r="A1" s="8" t="s">
        <v>28</v>
      </c>
      <c r="B1" s="8"/>
      <c r="C1" s="8"/>
      <c r="D1" s="8"/>
      <c r="E1" s="8" t="s">
        <v>29</v>
      </c>
      <c r="F1" s="8"/>
      <c r="G1" s="8" t="s">
        <v>15</v>
      </c>
      <c r="H1" s="8"/>
      <c r="I1" s="8"/>
      <c r="J1" s="8" t="s">
        <v>16</v>
      </c>
      <c r="K1" s="8"/>
      <c r="L1" s="8"/>
      <c r="M1" s="8" t="s">
        <v>17</v>
      </c>
      <c r="N1" s="8"/>
      <c r="O1" s="8"/>
      <c r="P1" s="8" t="s">
        <v>18</v>
      </c>
      <c r="Q1" s="8"/>
      <c r="R1" s="8"/>
      <c r="S1" s="8" t="s">
        <v>19</v>
      </c>
      <c r="T1" s="8"/>
      <c r="U1" s="8"/>
      <c r="V1" s="8" t="s">
        <v>20</v>
      </c>
      <c r="W1" s="8"/>
      <c r="X1" s="8"/>
    </row>
    <row r="2" spans="1:24" x14ac:dyDescent="0.25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34</v>
      </c>
      <c r="H2" s="2" t="s">
        <v>35</v>
      </c>
      <c r="I2" s="2" t="s">
        <v>36</v>
      </c>
      <c r="J2" s="2" t="s">
        <v>34</v>
      </c>
      <c r="K2" s="2" t="s">
        <v>35</v>
      </c>
      <c r="L2" s="2" t="s">
        <v>36</v>
      </c>
      <c r="M2" s="2" t="s">
        <v>34</v>
      </c>
      <c r="N2" s="2" t="s">
        <v>35</v>
      </c>
      <c r="O2" s="2" t="s">
        <v>36</v>
      </c>
      <c r="P2" s="2" t="s">
        <v>34</v>
      </c>
      <c r="Q2" s="2" t="s">
        <v>35</v>
      </c>
      <c r="R2" s="2" t="s">
        <v>36</v>
      </c>
      <c r="S2" s="2" t="s">
        <v>34</v>
      </c>
      <c r="T2" s="2" t="s">
        <v>35</v>
      </c>
      <c r="U2" s="2" t="s">
        <v>36</v>
      </c>
      <c r="V2" s="2" t="s">
        <v>34</v>
      </c>
      <c r="W2" s="2" t="s">
        <v>35</v>
      </c>
      <c r="X2" s="2" t="s">
        <v>36</v>
      </c>
    </row>
    <row r="3" spans="1:24" x14ac:dyDescent="0.25">
      <c r="A3" s="5">
        <v>49</v>
      </c>
      <c r="B3" s="5" t="s">
        <v>37</v>
      </c>
      <c r="C3" s="9" t="s">
        <v>41</v>
      </c>
      <c r="D3" s="9" t="s">
        <v>38</v>
      </c>
      <c r="E3" s="10">
        <v>0</v>
      </c>
      <c r="F3" s="10">
        <v>3</v>
      </c>
      <c r="G3" s="5">
        <v>1</v>
      </c>
      <c r="H3" s="5">
        <v>2</v>
      </c>
      <c r="I3" s="3">
        <f>IF(OR($E3="",$F3=""),"",IF(OR(G3="",H3=""),"",IF(AND(G3=$E3,H3=$F3),2,IF(SIGN(G3-H3)=SIGN($E3-$F3),1,0))))</f>
      </c>
      <c r="J3" s="5">
        <v>2</v>
      </c>
      <c r="K3" s="5">
        <v>1</v>
      </c>
      <c r="L3" s="3">
        <f>IF(OR($E3="",$F3=""),"",IF(OR(J3="",K3=""),"",IF(AND(J3=$E3,K3=$F3),2,IF(SIGN(J3-K3)=SIGN($E3-$F3),1,0))))</f>
      </c>
      <c r="M3" s="5">
        <v>1</v>
      </c>
      <c r="N3" s="5">
        <v>1</v>
      </c>
      <c r="O3" s="3">
        <f>IF(OR($E3="",$F3=""),"",IF(OR(M3="",N3=""),"",IF(AND(M3=$E3,N3=$F3),2,IF(SIGN(M3-N3)=SIGN($E3-$F3),1,0))))</f>
      </c>
      <c r="P3" s="5">
        <v>0</v>
      </c>
      <c r="Q3" s="5">
        <v>2</v>
      </c>
      <c r="R3" s="3">
        <f>IF(OR($E3="",$F3=""),"",IF(OR(P3="",Q3=""),"",IF(AND(P3=$E3,Q3=$F3),2,IF(SIGN(P3-Q3)=SIGN($E3-$F3),1,0))))</f>
      </c>
      <c r="S3" s="5">
        <v>2</v>
      </c>
      <c r="T3" s="5">
        <v>1</v>
      </c>
      <c r="U3" s="3">
        <f>IF(OR($E3="",$F3=""),"",IF(OR(S3="",T3=""),"",IF(AND(S3=$E3,T3=$F3),2,IF(SIGN(S3-T3)=SIGN($E3-$F3),1,0))))</f>
      </c>
      <c r="V3" s="5"/>
      <c r="W3" s="5"/>
      <c r="X3" s="3">
        <f>IF(OR($E3="",$F3=""),"",IF(OR(V3="",W3=""),"",IF(AND(V3=$E3,W3=$F3),2,IF(SIGN(V3-W3)=SIGN($E3-$F3),1,0))))</f>
      </c>
    </row>
    <row r="4" spans="1:24" x14ac:dyDescent="0.25">
      <c r="A4" s="5">
        <v>50</v>
      </c>
      <c r="B4" s="5" t="s">
        <v>37</v>
      </c>
      <c r="C4" s="9" t="s">
        <v>39</v>
      </c>
      <c r="D4" s="9" t="s">
        <v>40</v>
      </c>
      <c r="E4" s="10">
        <v>1</v>
      </c>
      <c r="F4" s="10">
        <v>0</v>
      </c>
      <c r="G4" s="5">
        <v>1</v>
      </c>
      <c r="H4" s="5">
        <v>3</v>
      </c>
      <c r="I4" s="3">
        <f>IF(OR($E4="",$F4=""),"",IF(OR(G4="",H4=""),"",IF(AND(G4=$E4,H4=$F4),2,IF(SIGN(G4-H4)=SIGN($E4-$F4),1,0))))</f>
      </c>
      <c r="J4" s="5">
        <v>1</v>
      </c>
      <c r="K4" s="5">
        <v>2</v>
      </c>
      <c r="L4" s="3">
        <f>IF(OR($E4="",$F4=""),"",IF(OR(J4="",K4=""),"",IF(AND(J4=$E4,K4=$F4),2,IF(SIGN(J4-K4)=SIGN($E4-$F4),1,0))))</f>
      </c>
      <c r="M4" s="5">
        <v>1</v>
      </c>
      <c r="N4" s="5">
        <v>2</v>
      </c>
      <c r="O4" s="3">
        <f>IF(OR($E4="",$F4=""),"",IF(OR(M4="",N4=""),"",IF(AND(M4=$E4,N4=$F4),2,IF(SIGN(M4-N4)=SIGN($E4-$F4),1,0))))</f>
      </c>
      <c r="P4" s="5">
        <v>0</v>
      </c>
      <c r="Q4" s="5">
        <v>1</v>
      </c>
      <c r="R4" s="3">
        <f>IF(OR($E4="",$F4=""),"",IF(OR(P4="",Q4=""),"",IF(AND(P4=$E4,Q4=$F4),2,IF(SIGN(P4-Q4)=SIGN($E4-$F4),1,0))))</f>
      </c>
      <c r="S4" s="5">
        <v>1</v>
      </c>
      <c r="T4" s="5">
        <v>2</v>
      </c>
      <c r="U4" s="3">
        <f>IF(OR($E4="",$F4=""),"",IF(OR(S4="",T4=""),"",IF(AND(S4=$E4,T4=$F4),2,IF(SIGN(S4-T4)=SIGN($E4-$F4),1,0))))</f>
      </c>
      <c r="V4" s="5"/>
      <c r="W4" s="5"/>
      <c r="X4" s="3">
        <f>IF(OR($E4="",$F4=""),"",IF(OR(V4="",W4=""),"",IF(AND(V4=$E4,W4=$F4),2,IF(SIGN(V4-W4)=SIGN($E4-$F4),1,0))))</f>
      </c>
    </row>
    <row r="5" spans="1:24" x14ac:dyDescent="0.25">
      <c r="A5" s="5">
        <v>51</v>
      </c>
      <c r="B5" s="5" t="s">
        <v>42</v>
      </c>
      <c r="C5" s="9" t="s">
        <v>46</v>
      </c>
      <c r="D5" s="9" t="s">
        <v>43</v>
      </c>
      <c r="E5" s="10">
        <v>2</v>
      </c>
      <c r="F5" s="10">
        <v>1</v>
      </c>
      <c r="G5" s="5">
        <v>1</v>
      </c>
      <c r="H5" s="5">
        <v>0</v>
      </c>
      <c r="I5" s="3">
        <f>IF(OR($E5="",$F5=""),"",IF(OR(G5="",H5=""),"",IF(AND(G5=$E5,H5=$F5),2,IF(SIGN(G5-H5)=SIGN($E5-$F5),1,0))))</f>
      </c>
      <c r="J5" s="5">
        <v>2</v>
      </c>
      <c r="K5" s="5">
        <v>1</v>
      </c>
      <c r="L5" s="3">
        <f>IF(OR($E5="",$F5=""),"",IF(OR(J5="",K5=""),"",IF(AND(J5=$E5,K5=$F5),2,IF(SIGN(J5-K5)=SIGN($E5-$F5),1,0))))</f>
      </c>
      <c r="M5" s="5">
        <v>1</v>
      </c>
      <c r="N5" s="5">
        <v>1</v>
      </c>
      <c r="O5" s="3">
        <f>IF(OR($E5="",$F5=""),"",IF(OR(M5="",N5=""),"",IF(AND(M5=$E5,N5=$F5),2,IF(SIGN(M5-N5)=SIGN($E5-$F5),1,0))))</f>
      </c>
      <c r="P5" s="5">
        <v>1</v>
      </c>
      <c r="Q5" s="5">
        <v>1</v>
      </c>
      <c r="R5" s="3">
        <f>IF(OR($E5="",$F5=""),"",IF(OR(P5="",Q5=""),"",IF(AND(P5=$E5,Q5=$F5),2,IF(SIGN(P5-Q5)=SIGN($E5-$F5),1,0))))</f>
      </c>
      <c r="S5" s="5">
        <v>2</v>
      </c>
      <c r="T5" s="5">
        <v>1</v>
      </c>
      <c r="U5" s="3">
        <f>IF(OR($E5="",$F5=""),"",IF(OR(S5="",T5=""),"",IF(AND(S5=$E5,T5=$F5),2,IF(SIGN(S5-T5)=SIGN($E5-$F5),1,0))))</f>
      </c>
      <c r="V5" s="5"/>
      <c r="W5" s="5"/>
      <c r="X5" s="3">
        <f>IF(OR($E5="",$F5=""),"",IF(OR(V5="",W5=""),"",IF(AND(V5=$E5,W5=$F5),2,IF(SIGN(V5-W5)=SIGN($E5-$F5),1,0))))</f>
      </c>
    </row>
    <row r="6" spans="1:24" x14ac:dyDescent="0.25">
      <c r="A6" s="5">
        <v>52</v>
      </c>
      <c r="B6" s="5" t="s">
        <v>42</v>
      </c>
      <c r="C6" s="9" t="s">
        <v>44</v>
      </c>
      <c r="D6" s="9" t="s">
        <v>45</v>
      </c>
      <c r="E6" s="10">
        <v>3</v>
      </c>
      <c r="F6" s="10">
        <v>1</v>
      </c>
      <c r="G6" s="5">
        <v>0</v>
      </c>
      <c r="H6" s="5">
        <v>1</v>
      </c>
      <c r="I6" s="3">
        <f>IF(OR($E6="",$F6=""),"",IF(OR(G6="",H6=""),"",IF(AND(G6=$E6,H6=$F6),2,IF(SIGN(G6-H6)=SIGN($E6-$F6),1,0))))</f>
      </c>
      <c r="J6" s="5">
        <v>3</v>
      </c>
      <c r="K6" s="5">
        <v>1</v>
      </c>
      <c r="L6" s="3">
        <f>IF(OR($E6="",$F6=""),"",IF(OR(J6="",K6=""),"",IF(AND(J6=$E6,K6=$F6),2,IF(SIGN(J6-K6)=SIGN($E6-$F6),1,0))))</f>
      </c>
      <c r="M6" s="5">
        <v>2</v>
      </c>
      <c r="N6" s="5">
        <v>0</v>
      </c>
      <c r="O6" s="3">
        <f>IF(OR($E6="",$F6=""),"",IF(OR(M6="",N6=""),"",IF(AND(M6=$E6,N6=$F6),2,IF(SIGN(M6-N6)=SIGN($E6-$F6),1,0))))</f>
      </c>
      <c r="P6" s="5">
        <v>2</v>
      </c>
      <c r="Q6" s="5">
        <v>0</v>
      </c>
      <c r="R6" s="3">
        <f>IF(OR($E6="",$F6=""),"",IF(OR(P6="",Q6=""),"",IF(AND(P6=$E6,Q6=$F6),2,IF(SIGN(P6-Q6)=SIGN($E6-$F6),1,0))))</f>
      </c>
      <c r="S6" s="5">
        <v>3</v>
      </c>
      <c r="T6" s="5">
        <v>1</v>
      </c>
      <c r="U6" s="3">
        <f>IF(OR($E6="",$F6=""),"",IF(OR(S6="",T6=""),"",IF(AND(S6=$E6,T6=$F6),2,IF(SIGN(S6-T6)=SIGN($E6-$F6),1,0))))</f>
      </c>
      <c r="V6" s="5"/>
      <c r="W6" s="5"/>
      <c r="X6" s="3">
        <f>IF(OR($E6="",$F6=""),"",IF(OR(V6="",W6=""),"",IF(AND(V6=$E6,W6=$F6),2,IF(SIGN(V6-W6)=SIGN($E6-$F6),1,0))))</f>
      </c>
    </row>
    <row r="7" spans="1:24" x14ac:dyDescent="0.25">
      <c r="A7" s="5">
        <v>53</v>
      </c>
      <c r="B7" s="5" t="s">
        <v>47</v>
      </c>
      <c r="C7" s="9" t="s">
        <v>51</v>
      </c>
      <c r="D7" s="9" t="s">
        <v>48</v>
      </c>
      <c r="E7" s="10">
        <v>0</v>
      </c>
      <c r="F7" s="10">
        <v>3</v>
      </c>
      <c r="G7" s="5">
        <v>0</v>
      </c>
      <c r="H7" s="5">
        <v>3</v>
      </c>
      <c r="I7" s="3">
        <f>IF(OR($E7="",$F7=""),"",IF(OR(G7="",H7=""),"",IF(AND(G7=$E7,H7=$F7),2,IF(SIGN(G7-H7)=SIGN($E7-$F7),1,0))))</f>
      </c>
      <c r="J7" s="5">
        <v>0</v>
      </c>
      <c r="K7" s="5">
        <v>2</v>
      </c>
      <c r="L7" s="3">
        <f>IF(OR($E7="",$F7=""),"",IF(OR(J7="",K7=""),"",IF(AND(J7=$E7,K7=$F7),2,IF(SIGN(J7-K7)=SIGN($E7-$F7),1,0))))</f>
      </c>
      <c r="M7" s="5">
        <v>0</v>
      </c>
      <c r="N7" s="5">
        <v>2</v>
      </c>
      <c r="O7" s="3">
        <f>IF(OR($E7="",$F7=""),"",IF(OR(M7="",N7=""),"",IF(AND(M7=$E7,N7=$F7),2,IF(SIGN(M7-N7)=SIGN($E7-$F7),1,0))))</f>
      </c>
      <c r="P7" s="5">
        <v>1</v>
      </c>
      <c r="Q7" s="5">
        <v>2</v>
      </c>
      <c r="R7" s="3">
        <f>IF(OR($E7="",$F7=""),"",IF(OR(P7="",Q7=""),"",IF(AND(P7=$E7,Q7=$F7),2,IF(SIGN(P7-Q7)=SIGN($E7-$F7),1,0))))</f>
      </c>
      <c r="S7" s="5">
        <v>0</v>
      </c>
      <c r="T7" s="5">
        <v>2</v>
      </c>
      <c r="U7" s="3">
        <f>IF(OR($E7="",$F7=""),"",IF(OR(S7="",T7=""),"",IF(AND(S7=$E7,T7=$F7),2,IF(SIGN(S7-T7)=SIGN($E7-$F7),1,0))))</f>
      </c>
      <c r="V7" s="5"/>
      <c r="W7" s="5"/>
      <c r="X7" s="3">
        <f>IF(OR($E7="",$F7=""),"",IF(OR(V7="",W7=""),"",IF(AND(V7=$E7,W7=$F7),2,IF(SIGN(V7-W7)=SIGN($E7-$F7),1,0))))</f>
      </c>
    </row>
    <row r="8" spans="1:24" x14ac:dyDescent="0.25">
      <c r="A8" s="5">
        <v>54</v>
      </c>
      <c r="B8" s="5" t="s">
        <v>47</v>
      </c>
      <c r="C8" s="9" t="s">
        <v>49</v>
      </c>
      <c r="D8" s="9" t="s">
        <v>50</v>
      </c>
      <c r="E8" s="10">
        <v>4</v>
      </c>
      <c r="F8" s="10">
        <v>2</v>
      </c>
      <c r="G8" s="5">
        <v>3</v>
      </c>
      <c r="H8" s="5">
        <v>0</v>
      </c>
      <c r="I8" s="3">
        <f>IF(OR($E8="",$F8=""),"",IF(OR(G8="",H8=""),"",IF(AND(G8=$E8,H8=$F8),2,IF(SIGN(G8-H8)=SIGN($E8-$F8),1,0))))</f>
      </c>
      <c r="J8" s="5">
        <v>2</v>
      </c>
      <c r="K8" s="5">
        <v>0</v>
      </c>
      <c r="L8" s="3">
        <f>IF(OR($E8="",$F8=""),"",IF(OR(J8="",K8=""),"",IF(AND(J8=$E8,K8=$F8),2,IF(SIGN(J8-K8)=SIGN($E8-$F8),1,0))))</f>
      </c>
      <c r="M8" s="5">
        <v>2</v>
      </c>
      <c r="N8" s="5">
        <v>0</v>
      </c>
      <c r="O8" s="3">
        <f>IF(OR($E8="",$F8=""),"",IF(OR(M8="",N8=""),"",IF(AND(M8=$E8,N8=$F8),2,IF(SIGN(M8-N8)=SIGN($E8-$F8),1,0))))</f>
      </c>
      <c r="P8" s="5">
        <v>3</v>
      </c>
      <c r="Q8" s="5">
        <v>0</v>
      </c>
      <c r="R8" s="3">
        <f>IF(OR($E8="",$F8=""),"",IF(OR(P8="",Q8=""),"",IF(AND(P8=$E8,Q8=$F8),2,IF(SIGN(P8-Q8)=SIGN($E8-$F8),1,0))))</f>
      </c>
      <c r="S8" s="5">
        <v>2</v>
      </c>
      <c r="T8" s="5">
        <v>0</v>
      </c>
      <c r="U8" s="3">
        <f>IF(OR($E8="",$F8=""),"",IF(OR(S8="",T8=""),"",IF(AND(S8=$E8,T8=$F8),2,IF(SIGN(S8-T8)=SIGN($E8-$F8),1,0))))</f>
      </c>
      <c r="V8" s="5"/>
      <c r="W8" s="5"/>
      <c r="X8" s="3">
        <f>IF(OR($E8="",$F8=""),"",IF(OR(V8="",W8=""),"",IF(AND(V8=$E8,W8=$F8),2,IF(SIGN(V8-W8)=SIGN($E8-$F8),1,0))))</f>
      </c>
    </row>
    <row r="9" spans="1:24" x14ac:dyDescent="0.25">
      <c r="A9" s="5">
        <v>55</v>
      </c>
      <c r="B9" s="5" t="s">
        <v>52</v>
      </c>
      <c r="C9" s="9" t="s">
        <v>56</v>
      </c>
      <c r="D9" s="9" t="s">
        <v>53</v>
      </c>
      <c r="E9" s="10">
        <v>3</v>
      </c>
      <c r="F9" s="10">
        <v>2</v>
      </c>
      <c r="G9" s="5">
        <v>2</v>
      </c>
      <c r="H9" s="5">
        <v>1</v>
      </c>
      <c r="I9" s="3">
        <f>IF(OR($E9="",$F9=""),"",IF(OR(G9="",H9=""),"",IF(AND(G9=$E9,H9=$F9),2,IF(SIGN(G9-H9)=SIGN($E9-$F9),1,0))))</f>
      </c>
      <c r="J9" s="5">
        <v>0</v>
      </c>
      <c r="K9" s="5">
        <v>2</v>
      </c>
      <c r="L9" s="3">
        <f>IF(OR($E9="",$F9=""),"",IF(OR(J9="",K9=""),"",IF(AND(J9=$E9,K9=$F9),2,IF(SIGN(J9-K9)=SIGN($E9-$F9),1,0))))</f>
      </c>
      <c r="M9" s="5">
        <v>1</v>
      </c>
      <c r="N9" s="5">
        <v>1</v>
      </c>
      <c r="O9" s="3">
        <f>IF(OR($E9="",$F9=""),"",IF(OR(M9="",N9=""),"",IF(AND(M9=$E9,N9=$F9),2,IF(SIGN(M9-N9)=SIGN($E9-$F9),1,0))))</f>
      </c>
      <c r="P9" s="5">
        <v>2</v>
      </c>
      <c r="Q9" s="5">
        <v>2</v>
      </c>
      <c r="R9" s="3">
        <f>IF(OR($E9="",$F9=""),"",IF(OR(P9="",Q9=""),"",IF(AND(P9=$E9,Q9=$F9),2,IF(SIGN(P9-Q9)=SIGN($E9-$F9),1,0))))</f>
      </c>
      <c r="S9" s="5">
        <v>1</v>
      </c>
      <c r="T9" s="5">
        <v>2</v>
      </c>
      <c r="U9" s="3">
        <f>IF(OR($E9="",$F9=""),"",IF(OR(S9="",T9=""),"",IF(AND(S9=$E9,T9=$F9),2,IF(SIGN(S9-T9)=SIGN($E9-$F9),1,0))))</f>
      </c>
      <c r="V9" s="5"/>
      <c r="W9" s="5"/>
      <c r="X9" s="3">
        <f>IF(OR($E9="",$F9=""),"",IF(OR(V9="",W9=""),"",IF(AND(V9=$E9,W9=$F9),2,IF(SIGN(V9-W9)=SIGN($E9-$F9),1,0))))</f>
      </c>
    </row>
    <row r="10" spans="1:24" x14ac:dyDescent="0.25">
      <c r="A10" s="5">
        <v>56</v>
      </c>
      <c r="B10" s="5" t="s">
        <v>52</v>
      </c>
      <c r="C10" s="9" t="s">
        <v>54</v>
      </c>
      <c r="D10" s="9" t="s">
        <v>55</v>
      </c>
      <c r="E10" s="10">
        <v>0</v>
      </c>
      <c r="F10" s="10">
        <v>0</v>
      </c>
      <c r="G10" s="5">
        <v>1</v>
      </c>
      <c r="H10" s="5">
        <v>1</v>
      </c>
      <c r="I10" s="3">
        <f>IF(OR($E10="",$F10=""),"",IF(OR(G10="",H10=""),"",IF(AND(G10=$E10,H10=$F10),2,IF(SIGN(G10-H10)=SIGN($E10-$F10),1,0))))</f>
      </c>
      <c r="J10" s="5">
        <v>1</v>
      </c>
      <c r="K10" s="5">
        <v>2</v>
      </c>
      <c r="L10" s="3">
        <f>IF(OR($E10="",$F10=""),"",IF(OR(J10="",K10=""),"",IF(AND(J10=$E10,K10=$F10),2,IF(SIGN(J10-K10)=SIGN($E10-$F10),1,0))))</f>
      </c>
      <c r="M10" s="5">
        <v>1</v>
      </c>
      <c r="N10" s="5">
        <v>1</v>
      </c>
      <c r="O10" s="3">
        <f>IF(OR($E10="",$F10=""),"",IF(OR(M10="",N10=""),"",IF(AND(M10=$E10,N10=$F10),2,IF(SIGN(M10-N10)=SIGN($E10-$F10),1,0))))</f>
      </c>
      <c r="P10" s="5">
        <v>1</v>
      </c>
      <c r="Q10" s="5">
        <v>1</v>
      </c>
      <c r="R10" s="3">
        <f>IF(OR($E10="",$F10=""),"",IF(OR(P10="",Q10=""),"",IF(AND(P10=$E10,Q10=$F10),2,IF(SIGN(P10-Q10)=SIGN($E10-$F10),1,0))))</f>
      </c>
      <c r="S10" s="5">
        <v>1</v>
      </c>
      <c r="T10" s="5">
        <v>1</v>
      </c>
      <c r="U10" s="3">
        <f>IF(OR($E10="",$F10=""),"",IF(OR(S10="",T10=""),"",IF(AND(S10=$E10,T10=$F10),2,IF(SIGN(S10-T10)=SIGN($E10-$F10),1,0))))</f>
      </c>
      <c r="V10" s="5"/>
      <c r="W10" s="5"/>
      <c r="X10" s="3">
        <f>IF(OR($E10="",$F10=""),"",IF(OR(V10="",W10=""),"",IF(AND(V10=$E10,W10=$F10),2,IF(SIGN(V10-W10)=SIGN($E10-$F10),1,0))))</f>
      </c>
    </row>
    <row r="11" spans="1:24" x14ac:dyDescent="0.25">
      <c r="A11" s="5">
        <v>57</v>
      </c>
      <c r="B11" s="5" t="s">
        <v>57</v>
      </c>
      <c r="C11" s="9" t="s">
        <v>61</v>
      </c>
      <c r="D11" s="9" t="s">
        <v>58</v>
      </c>
      <c r="E11" s="10">
        <v>2</v>
      </c>
      <c r="F11" s="10">
        <v>1</v>
      </c>
      <c r="G11" s="5">
        <v>1</v>
      </c>
      <c r="H11" s="5">
        <v>3</v>
      </c>
      <c r="I11" s="3">
        <f>IF(OR($E11="",$F11=""),"",IF(OR(G11="",H11=""),"",IF(AND(G11=$E11,H11=$F11),2,IF(SIGN(G11-H11)=SIGN($E11-$F11),1,0))))</f>
      </c>
      <c r="J11" s="5">
        <v>0</v>
      </c>
      <c r="K11" s="5">
        <v>2</v>
      </c>
      <c r="L11" s="3">
        <f>IF(OR($E11="",$F11=""),"",IF(OR(J11="",K11=""),"",IF(AND(J11=$E11,K11=$F11),2,IF(SIGN(J11-K11)=SIGN($E11-$F11),1,0))))</f>
      </c>
      <c r="M11" s="5">
        <v>1</v>
      </c>
      <c r="N11" s="5">
        <v>2</v>
      </c>
      <c r="O11" s="3">
        <f>IF(OR($E11="",$F11=""),"",IF(OR(M11="",N11=""),"",IF(AND(M11=$E11,N11=$F11),2,IF(SIGN(M11-N11)=SIGN($E11-$F11),1,0))))</f>
      </c>
      <c r="P11" s="5">
        <v>1</v>
      </c>
      <c r="Q11" s="5">
        <v>3</v>
      </c>
      <c r="R11" s="3">
        <f>IF(OR($E11="",$F11=""),"",IF(OR(P11="",Q11=""),"",IF(AND(P11=$E11,Q11=$F11),2,IF(SIGN(P11-Q11)=SIGN($E11-$F11),1,0))))</f>
      </c>
      <c r="S11" s="5">
        <v>1</v>
      </c>
      <c r="T11" s="5">
        <v>2</v>
      </c>
      <c r="U11" s="3">
        <f>IF(OR($E11="",$F11=""),"",IF(OR(S11="",T11=""),"",IF(AND(S11=$E11,T11=$F11),2,IF(SIGN(S11-T11)=SIGN($E11-$F11),1,0))))</f>
      </c>
      <c r="V11" s="5"/>
      <c r="W11" s="5"/>
      <c r="X11" s="3">
        <f>IF(OR($E11="",$F11=""),"",IF(OR(V11="",W11=""),"",IF(AND(V11=$E11,W11=$F11),2,IF(SIGN(V11-W11)=SIGN($E11-$F11),1,0))))</f>
      </c>
    </row>
    <row r="12" spans="1:24" x14ac:dyDescent="0.25">
      <c r="A12" s="5">
        <v>58</v>
      </c>
      <c r="B12" s="5" t="s">
        <v>57</v>
      </c>
      <c r="C12" s="9" t="s">
        <v>59</v>
      </c>
      <c r="D12" s="9" t="s">
        <v>60</v>
      </c>
      <c r="E12" s="10">
        <v>0</v>
      </c>
      <c r="F12" s="10">
        <v>2</v>
      </c>
      <c r="G12" s="5">
        <v>1</v>
      </c>
      <c r="H12" s="5">
        <v>2</v>
      </c>
      <c r="I12" s="3">
        <f>IF(OR($E12="",$F12=""),"",IF(OR(G12="",H12=""),"",IF(AND(G12=$E12,H12=$F12),2,IF(SIGN(G12-H12)=SIGN($E12-$F12),1,0))))</f>
      </c>
      <c r="J12" s="5">
        <v>0</v>
      </c>
      <c r="K12" s="5">
        <v>1</v>
      </c>
      <c r="L12" s="3">
        <f>IF(OR($E12="",$F12=""),"",IF(OR(J12="",K12=""),"",IF(AND(J12=$E12,K12=$F12),2,IF(SIGN(J12-K12)=SIGN($E12-$F12),1,0))))</f>
      </c>
      <c r="M12" s="5">
        <v>0</v>
      </c>
      <c r="N12" s="5">
        <v>2</v>
      </c>
      <c r="O12" s="3">
        <f>IF(OR($E12="",$F12=""),"",IF(OR(M12="",N12=""),"",IF(AND(M12=$E12,N12=$F12),2,IF(SIGN(M12-N12)=SIGN($E12-$F12),1,0))))</f>
      </c>
      <c r="P12" s="5">
        <v>0</v>
      </c>
      <c r="Q12" s="5">
        <v>2</v>
      </c>
      <c r="R12" s="3">
        <f>IF(OR($E12="",$F12=""),"",IF(OR(P12="",Q12=""),"",IF(AND(P12=$E12,Q12=$F12),2,IF(SIGN(P12-Q12)=SIGN($E12-$F12),1,0))))</f>
      </c>
      <c r="S12" s="5">
        <v>1</v>
      </c>
      <c r="T12" s="5">
        <v>2</v>
      </c>
      <c r="U12" s="3">
        <f>IF(OR($E12="",$F12=""),"",IF(OR(S12="",T12=""),"",IF(AND(S12=$E12,T12=$F12),2,IF(SIGN(S12-T12)=SIGN($E12-$F12),1,0))))</f>
      </c>
      <c r="V12" s="5"/>
      <c r="W12" s="5"/>
      <c r="X12" s="3">
        <f>IF(OR($E12="",$F12=""),"",IF(OR(V12="",W12=""),"",IF(AND(V12=$E12,W12=$F12),2,IF(SIGN(V12-W12)=SIGN($E12-$F12),1,0))))</f>
      </c>
    </row>
    <row r="13" spans="1:24" x14ac:dyDescent="0.25">
      <c r="A13" s="5">
        <v>59</v>
      </c>
      <c r="B13" s="5" t="s">
        <v>62</v>
      </c>
      <c r="C13" s="9" t="s">
        <v>66</v>
      </c>
      <c r="D13" s="9" t="s">
        <v>63</v>
      </c>
      <c r="E13" s="10">
        <v>1</v>
      </c>
      <c r="F13" s="10">
        <v>3</v>
      </c>
      <c r="G13" s="5">
        <v>0</v>
      </c>
      <c r="H13" s="5">
        <v>2</v>
      </c>
      <c r="I13" s="3">
        <f>IF(OR($E13="",$F13=""),"",IF(OR(G13="",H13=""),"",IF(AND(G13=$E13,H13=$F13),2,IF(SIGN(G13-H13)=SIGN($E13-$F13),1,0))))</f>
      </c>
      <c r="J13" s="5">
        <v>0</v>
      </c>
      <c r="K13" s="5">
        <v>1</v>
      </c>
      <c r="L13" s="3">
        <f>IF(OR($E13="",$F13=""),"",IF(OR(J13="",K13=""),"",IF(AND(J13=$E13,K13=$F13),2,IF(SIGN(J13-K13)=SIGN($E13-$F13),1,0))))</f>
      </c>
      <c r="M13" s="5">
        <v>0</v>
      </c>
      <c r="N13" s="5">
        <v>2</v>
      </c>
      <c r="O13" s="3">
        <f>IF(OR($E13="",$F13=""),"",IF(OR(M13="",N13=""),"",IF(AND(M13=$E13,N13=$F13),2,IF(SIGN(M13-N13)=SIGN($E13-$F13),1,0))))</f>
      </c>
      <c r="P13" s="5">
        <v>0</v>
      </c>
      <c r="Q13" s="5">
        <v>2</v>
      </c>
      <c r="R13" s="3">
        <f>IF(OR($E13="",$F13=""),"",IF(OR(P13="",Q13=""),"",IF(AND(P13=$E13,Q13=$F13),2,IF(SIGN(P13-Q13)=SIGN($E13-$F13),1,0))))</f>
      </c>
      <c r="S13" s="5">
        <v>0</v>
      </c>
      <c r="T13" s="5">
        <v>3</v>
      </c>
      <c r="U13" s="3">
        <f>IF(OR($E13="",$F13=""),"",IF(OR(S13="",T13=""),"",IF(AND(S13=$E13,T13=$F13),2,IF(SIGN(S13-T13)=SIGN($E13-$F13),1,0))))</f>
      </c>
      <c r="V13" s="5"/>
      <c r="W13" s="5"/>
      <c r="X13" s="3">
        <f>IF(OR($E13="",$F13=""),"",IF(OR(V13="",W13=""),"",IF(AND(V13=$E13,W13=$F13),2,IF(SIGN(V13-W13)=SIGN($E13-$F13),1,0))))</f>
      </c>
    </row>
    <row r="14" spans="1:24" x14ac:dyDescent="0.25">
      <c r="A14" s="5">
        <v>60</v>
      </c>
      <c r="B14" s="5" t="s">
        <v>62</v>
      </c>
      <c r="C14" s="9" t="s">
        <v>64</v>
      </c>
      <c r="D14" s="9" t="s">
        <v>65</v>
      </c>
      <c r="E14" s="10">
        <v>1</v>
      </c>
      <c r="F14" s="10">
        <v>1</v>
      </c>
      <c r="G14" s="5">
        <v>1</v>
      </c>
      <c r="H14" s="5">
        <v>1</v>
      </c>
      <c r="I14" s="3">
        <f>IF(OR($E14="",$F14=""),"",IF(OR(G14="",H14=""),"",IF(AND(G14=$E14,H14=$F14),2,IF(SIGN(G14-H14)=SIGN($E14-$F14),1,0))))</f>
      </c>
      <c r="J14" s="5">
        <v>1</v>
      </c>
      <c r="K14" s="5">
        <v>1</v>
      </c>
      <c r="L14" s="3">
        <f>IF(OR($E14="",$F14=""),"",IF(OR(J14="",K14=""),"",IF(AND(J14=$E14,K14=$F14),2,IF(SIGN(J14-K14)=SIGN($E14-$F14),1,0))))</f>
      </c>
      <c r="M14" s="5">
        <v>2</v>
      </c>
      <c r="N14" s="5">
        <v>1</v>
      </c>
      <c r="O14" s="3">
        <f>IF(OR($E14="",$F14=""),"",IF(OR(M14="",N14=""),"",IF(AND(M14=$E14,N14=$F14),2,IF(SIGN(M14-N14)=SIGN($E14-$F14),1,0))))</f>
      </c>
      <c r="P14" s="5">
        <v>2</v>
      </c>
      <c r="Q14" s="5">
        <v>2</v>
      </c>
      <c r="R14" s="3">
        <f>IF(OR($E14="",$F14=""),"",IF(OR(P14="",Q14=""),"",IF(AND(P14=$E14,Q14=$F14),2,IF(SIGN(P14-Q14)=SIGN($E14-$F14),1,0))))</f>
      </c>
      <c r="S14" s="5">
        <v>2</v>
      </c>
      <c r="T14" s="5">
        <v>2</v>
      </c>
      <c r="U14" s="3">
        <f>IF(OR($E14="",$F14=""),"",IF(OR(S14="",T14=""),"",IF(AND(S14=$E14,T14=$F14),2,IF(SIGN(S14-T14)=SIGN($E14-$F14),1,0))))</f>
      </c>
      <c r="V14" s="5"/>
      <c r="W14" s="5"/>
      <c r="X14" s="3">
        <f>IF(OR($E14="",$F14=""),"",IF(OR(V14="",W14=""),"",IF(AND(V14=$E14,W14=$F14),2,IF(SIGN(V14-W14)=SIGN($E14-$F14),1,0))))</f>
      </c>
    </row>
    <row r="15" spans="1:24" x14ac:dyDescent="0.25">
      <c r="A15" s="5">
        <v>61</v>
      </c>
      <c r="B15" s="5" t="s">
        <v>67</v>
      </c>
      <c r="C15" s="9" t="s">
        <v>71</v>
      </c>
      <c r="D15" s="9" t="s">
        <v>68</v>
      </c>
      <c r="E15" s="10">
        <v>1</v>
      </c>
      <c r="F15" s="10">
        <v>5</v>
      </c>
      <c r="G15" s="5">
        <v>0</v>
      </c>
      <c r="H15" s="5">
        <v>3</v>
      </c>
      <c r="I15" s="3">
        <f>IF(OR($E15="",$F15=""),"",IF(OR(G15="",H15=""),"",IF(AND(G15=$E15,H15=$F15),2,IF(SIGN(G15-H15)=SIGN($E15-$F15),1,0))))</f>
      </c>
      <c r="J15" s="5">
        <v>1</v>
      </c>
      <c r="K15" s="5">
        <v>2</v>
      </c>
      <c r="L15" s="3">
        <f>IF(OR($E15="",$F15=""),"",IF(OR(J15="",K15=""),"",IF(AND(J15=$E15,K15=$F15),2,IF(SIGN(J15-K15)=SIGN($E15-$F15),1,0))))</f>
      </c>
      <c r="M15" s="5">
        <v>0</v>
      </c>
      <c r="N15" s="5">
        <v>3</v>
      </c>
      <c r="O15" s="3">
        <f>IF(OR($E15="",$F15=""),"",IF(OR(M15="",N15=""),"",IF(AND(M15=$E15,N15=$F15),2,IF(SIGN(M15-N15)=SIGN($E15-$F15),1,0))))</f>
      </c>
      <c r="P15" s="5">
        <v>0</v>
      </c>
      <c r="Q15" s="5">
        <v>3</v>
      </c>
      <c r="R15" s="3">
        <f>IF(OR($E15="",$F15=""),"",IF(OR(P15="",Q15=""),"",IF(AND(P15=$E15,Q15=$F15),2,IF(SIGN(P15-Q15)=SIGN($E15-$F15),1,0))))</f>
      </c>
      <c r="S15" s="5">
        <v>0</v>
      </c>
      <c r="T15" s="5">
        <v>2</v>
      </c>
      <c r="U15" s="3">
        <f>IF(OR($E15="",$F15=""),"",IF(OR(S15="",T15=""),"",IF(AND(S15=$E15,T15=$F15),2,IF(SIGN(S15-T15)=SIGN($E15-$F15),1,0))))</f>
      </c>
      <c r="V15" s="5"/>
      <c r="W15" s="5"/>
      <c r="X15" s="3">
        <f>IF(OR($E15="",$F15=""),"",IF(OR(V15="",W15=""),"",IF(AND(V15=$E15,W15=$F15),2,IF(SIGN(V15-W15)=SIGN($E15-$F15),1,0))))</f>
      </c>
    </row>
    <row r="16" spans="1:24" x14ac:dyDescent="0.25">
      <c r="A16" s="5">
        <v>62</v>
      </c>
      <c r="B16" s="5" t="s">
        <v>67</v>
      </c>
      <c r="C16" s="9" t="s">
        <v>69</v>
      </c>
      <c r="D16" s="9" t="s">
        <v>70</v>
      </c>
      <c r="E16" s="10">
        <v>1</v>
      </c>
      <c r="F16" s="10">
        <v>1</v>
      </c>
      <c r="G16" s="5">
        <v>1</v>
      </c>
      <c r="H16" s="5">
        <v>0</v>
      </c>
      <c r="I16" s="3">
        <f>IF(OR($E16="",$F16=""),"",IF(OR(G16="",H16=""),"",IF(AND(G16=$E16,H16=$F16),2,IF(SIGN(G16-H16)=SIGN($E16-$F16),1,0))))</f>
      </c>
      <c r="J16" s="5">
        <v>1</v>
      </c>
      <c r="K16" s="5">
        <v>1</v>
      </c>
      <c r="L16" s="3">
        <f>IF(OR($E16="",$F16=""),"",IF(OR(J16="",K16=""),"",IF(AND(J16=$E16,K16=$F16),2,IF(SIGN(J16-K16)=SIGN($E16-$F16),1,0))))</f>
      </c>
      <c r="M16" s="5">
        <v>1</v>
      </c>
      <c r="N16" s="5">
        <v>1</v>
      </c>
      <c r="O16" s="3">
        <f>IF(OR($E16="",$F16=""),"",IF(OR(M16="",N16=""),"",IF(AND(M16=$E16,N16=$F16),2,IF(SIGN(M16-N16)=SIGN($E16-$F16),1,0))))</f>
      </c>
      <c r="P16" s="5">
        <v>1</v>
      </c>
      <c r="Q16" s="5">
        <v>1</v>
      </c>
      <c r="R16" s="3">
        <f>IF(OR($E16="",$F16=""),"",IF(OR(P16="",Q16=""),"",IF(AND(P16=$E16,Q16=$F16),2,IF(SIGN(P16-Q16)=SIGN($E16-$F16),1,0))))</f>
      </c>
      <c r="S16" s="5">
        <v>2</v>
      </c>
      <c r="T16" s="5">
        <v>1</v>
      </c>
      <c r="U16" s="3">
        <f>IF(OR($E16="",$F16=""),"",IF(OR(S16="",T16=""),"",IF(AND(S16=$E16,T16=$F16),2,IF(SIGN(S16-T16)=SIGN($E16-$F16),1,0))))</f>
      </c>
      <c r="V16" s="5"/>
      <c r="W16" s="5"/>
      <c r="X16" s="3">
        <f>IF(OR($E16="",$F16=""),"",IF(OR(V16="",W16=""),"",IF(AND(V16=$E16,W16=$F16),2,IF(SIGN(V16-W16)=SIGN($E16-$F16),1,0))))</f>
      </c>
    </row>
    <row r="17" spans="1:24" x14ac:dyDescent="0.25">
      <c r="A17" s="5">
        <v>63</v>
      </c>
      <c r="B17" s="5" t="s">
        <v>72</v>
      </c>
      <c r="C17" s="9" t="s">
        <v>76</v>
      </c>
      <c r="D17" s="9" t="s">
        <v>73</v>
      </c>
      <c r="E17" s="10">
        <v>0</v>
      </c>
      <c r="F17" s="10">
        <v>1</v>
      </c>
      <c r="G17" s="5">
        <v>0</v>
      </c>
      <c r="H17" s="5">
        <v>2</v>
      </c>
      <c r="I17" s="3">
        <f>IF(OR($E17="",$F17=""),"",IF(OR(G17="",H17=""),"",IF(AND(G17=$E17,H17=$F17),2,IF(SIGN(G17-H17)=SIGN($E17-$F17),1,0))))</f>
      </c>
      <c r="J17" s="5">
        <v>0</v>
      </c>
      <c r="K17" s="5">
        <v>2</v>
      </c>
      <c r="L17" s="3">
        <f>IF(OR($E17="",$F17=""),"",IF(OR(J17="",K17=""),"",IF(AND(J17=$E17,K17=$F17),2,IF(SIGN(J17-K17)=SIGN($E17-$F17),1,0))))</f>
      </c>
      <c r="M17" s="5">
        <v>1</v>
      </c>
      <c r="N17" s="5">
        <v>2</v>
      </c>
      <c r="O17" s="3">
        <f>IF(OR($E17="",$F17=""),"",IF(OR(M17="",N17=""),"",IF(AND(M17=$E17,N17=$F17),2,IF(SIGN(M17-N17)=SIGN($E17-$F17),1,0))))</f>
      </c>
      <c r="P17" s="5">
        <v>1</v>
      </c>
      <c r="Q17" s="5">
        <v>2</v>
      </c>
      <c r="R17" s="3">
        <f>IF(OR($E17="",$F17=""),"",IF(OR(P17="",Q17=""),"",IF(AND(P17=$E17,Q17=$F17),2,IF(SIGN(P17-Q17)=SIGN($E17-$F17),1,0))))</f>
      </c>
      <c r="S17" s="5">
        <v>1</v>
      </c>
      <c r="T17" s="5">
        <v>2</v>
      </c>
      <c r="U17" s="3">
        <f>IF(OR($E17="",$F17=""),"",IF(OR(S17="",T17=""),"",IF(AND(S17=$E17,T17=$F17),2,IF(SIGN(S17-T17)=SIGN($E17-$F17),1,0))))</f>
      </c>
      <c r="V17" s="5"/>
      <c r="W17" s="5"/>
      <c r="X17" s="3">
        <f>IF(OR($E17="",$F17=""),"",IF(OR(V17="",W17=""),"",IF(AND(V17=$E17,W17=$F17),2,IF(SIGN(V17-W17)=SIGN($E17-$F17),1,0))))</f>
      </c>
    </row>
    <row r="18" spans="1:24" x14ac:dyDescent="0.25">
      <c r="A18" s="5">
        <v>64</v>
      </c>
      <c r="B18" s="5" t="s">
        <v>72</v>
      </c>
      <c r="C18" s="9" t="s">
        <v>74</v>
      </c>
      <c r="D18" s="9" t="s">
        <v>75</v>
      </c>
      <c r="E18" s="10">
        <v>0</v>
      </c>
      <c r="F18" s="10">
        <v>0</v>
      </c>
      <c r="G18" s="5">
        <v>0</v>
      </c>
      <c r="H18" s="5">
        <v>1</v>
      </c>
      <c r="I18" s="3">
        <f>IF(OR($E18="",$F18=""),"",IF(OR(G18="",H18=""),"",IF(AND(G18=$E18,H18=$F18),2,IF(SIGN(G18-H18)=SIGN($E18-$F18),1,0))))</f>
      </c>
      <c r="J18" s="5">
        <v>0</v>
      </c>
      <c r="K18" s="5">
        <v>2</v>
      </c>
      <c r="L18" s="3">
        <f>IF(OR($E18="",$F18=""),"",IF(OR(J18="",K18=""),"",IF(AND(J18=$E18,K18=$F18),2,IF(SIGN(J18-K18)=SIGN($E18-$F18),1,0))))</f>
      </c>
      <c r="M18" s="5">
        <v>1</v>
      </c>
      <c r="N18" s="5">
        <v>1</v>
      </c>
      <c r="O18" s="3">
        <f>IF(OR($E18="",$F18=""),"",IF(OR(M18="",N18=""),"",IF(AND(M18=$E18,N18=$F18),2,IF(SIGN(M18-N18)=SIGN($E18-$F18),1,0))))</f>
      </c>
      <c r="P18" s="5">
        <v>1</v>
      </c>
      <c r="Q18" s="5">
        <v>3</v>
      </c>
      <c r="R18" s="3">
        <f>IF(OR($E18="",$F18=""),"",IF(OR(P18="",Q18=""),"",IF(AND(P18=$E18,Q18=$F18),2,IF(SIGN(P18-Q18)=SIGN($E18-$F18),1,0))))</f>
      </c>
      <c r="S18" s="5">
        <v>2</v>
      </c>
      <c r="T18" s="5">
        <v>1</v>
      </c>
      <c r="U18" s="3">
        <f>IF(OR($E18="",$F18=""),"",IF(OR(S18="",T18=""),"",IF(AND(S18=$E18,T18=$F18),2,IF(SIGN(S18-T18)=SIGN($E18-$F18),1,0))))</f>
      </c>
      <c r="V18" s="5"/>
      <c r="W18" s="5"/>
      <c r="X18" s="3">
        <f>IF(OR($E18="",$F18=""),"",IF(OR(V18="",W18=""),"",IF(AND(V18=$E18,W18=$F18),2,IF(SIGN(V18-W18)=SIGN($E18-$F18),1,0))))</f>
      </c>
    </row>
    <row r="19" spans="1:24" x14ac:dyDescent="0.25">
      <c r="A19" s="5">
        <v>65</v>
      </c>
      <c r="B19" s="5" t="s">
        <v>77</v>
      </c>
      <c r="C19" s="9" t="s">
        <v>81</v>
      </c>
      <c r="D19" s="9" t="s">
        <v>78</v>
      </c>
      <c r="E19" s="10">
        <v>1</v>
      </c>
      <c r="F19" s="10">
        <v>4</v>
      </c>
      <c r="G19" s="5">
        <v>1</v>
      </c>
      <c r="H19" s="5">
        <v>2</v>
      </c>
      <c r="I19" s="3">
        <f>IF(OR($E19="",$F19=""),"",IF(OR(G19="",H19=""),"",IF(AND(G19=$E19,H19=$F19),2,IF(SIGN(G19-H19)=SIGN($E19-$F19),1,0))))</f>
      </c>
      <c r="J19" s="5">
        <v>1</v>
      </c>
      <c r="K19" s="5">
        <v>2</v>
      </c>
      <c r="L19" s="3">
        <f>IF(OR($E19="",$F19=""),"",IF(OR(J19="",K19=""),"",IF(AND(J19=$E19,K19=$F19),2,IF(SIGN(J19-K19)=SIGN($E19-$F19),1,0))))</f>
      </c>
      <c r="M19" s="5">
        <v>1</v>
      </c>
      <c r="N19" s="5">
        <v>2</v>
      </c>
      <c r="O19" s="3">
        <f>IF(OR($E19="",$F19=""),"",IF(OR(M19="",N19=""),"",IF(AND(M19=$E19,N19=$F19),2,IF(SIGN(M19-N19)=SIGN($E19-$F19),1,0))))</f>
      </c>
      <c r="P19" s="5">
        <v>1</v>
      </c>
      <c r="Q19" s="5">
        <v>2</v>
      </c>
      <c r="R19" s="3">
        <f>IF(OR($E19="",$F19=""),"",IF(OR(P19="",Q19=""),"",IF(AND(P19=$E19,Q19=$F19),2,IF(SIGN(P19-Q19)=SIGN($E19-$F19),1,0))))</f>
      </c>
      <c r="S19" s="5">
        <v>1</v>
      </c>
      <c r="T19" s="5">
        <v>3</v>
      </c>
      <c r="U19" s="3">
        <f>IF(OR($E19="",$F19=""),"",IF(OR(S19="",T19=""),"",IF(AND(S19=$E19,T19=$F19),2,IF(SIGN(S19-T19)=SIGN($E19-$F19),1,0))))</f>
      </c>
      <c r="V19" s="5"/>
      <c r="W19" s="5"/>
      <c r="X19" s="3">
        <f>IF(OR($E19="",$F19=""),"",IF(OR(V19="",W19=""),"",IF(AND(V19=$E19,W19=$F19),2,IF(SIGN(V19-W19)=SIGN($E19-$F19),1,0))))</f>
      </c>
    </row>
    <row r="20" spans="1:24" x14ac:dyDescent="0.25">
      <c r="A20" s="5">
        <v>66</v>
      </c>
      <c r="B20" s="5" t="s">
        <v>77</v>
      </c>
      <c r="C20" s="9" t="s">
        <v>79</v>
      </c>
      <c r="D20" s="9" t="s">
        <v>80</v>
      </c>
      <c r="E20" s="10">
        <v>5</v>
      </c>
      <c r="F20" s="10">
        <v>0</v>
      </c>
      <c r="G20" s="5">
        <v>2</v>
      </c>
      <c r="H20" s="5">
        <v>0</v>
      </c>
      <c r="I20" s="3">
        <f>IF(OR($E20="",$F20=""),"",IF(OR(G20="",H20=""),"",IF(AND(G20=$E20,H20=$F20),2,IF(SIGN(G20-H20)=SIGN($E20-$F20),1,0))))</f>
      </c>
      <c r="J20" s="5">
        <v>1</v>
      </c>
      <c r="K20" s="5">
        <v>1</v>
      </c>
      <c r="L20" s="3">
        <f>IF(OR($E20="",$F20=""),"",IF(OR(J20="",K20=""),"",IF(AND(J20=$E20,K20=$F20),2,IF(SIGN(J20-K20)=SIGN($E20-$F20),1,0))))</f>
      </c>
      <c r="M20" s="5">
        <v>2</v>
      </c>
      <c r="N20" s="5">
        <v>0</v>
      </c>
      <c r="O20" s="3">
        <f>IF(OR($E20="",$F20=""),"",IF(OR(M20="",N20=""),"",IF(AND(M20=$E20,N20=$F20),2,IF(SIGN(M20-N20)=SIGN($E20-$F20),1,0))))</f>
      </c>
      <c r="P20" s="5">
        <v>2</v>
      </c>
      <c r="Q20" s="5">
        <v>0</v>
      </c>
      <c r="R20" s="3">
        <f>IF(OR($E20="",$F20=""),"",IF(OR(P20="",Q20=""),"",IF(AND(P20=$E20,Q20=$F20),2,IF(SIGN(P20-Q20)=SIGN($E20-$F20),1,0))))</f>
      </c>
      <c r="S20" s="5">
        <v>2</v>
      </c>
      <c r="T20" s="5">
        <v>1</v>
      </c>
      <c r="U20" s="3">
        <f>IF(OR($E20="",$F20=""),"",IF(OR(S20="",T20=""),"",IF(AND(S20=$E20,T20=$F20),2,IF(SIGN(S20-T20)=SIGN($E20-$F20),1,0))))</f>
      </c>
      <c r="V20" s="5"/>
      <c r="W20" s="5"/>
      <c r="X20" s="3">
        <f>IF(OR($E20="",$F20=""),"",IF(OR(V20="",W20=""),"",IF(AND(V20=$E20,W20=$F20),2,IF(SIGN(V20-W20)=SIGN($E20-$F20),1,0))))</f>
      </c>
    </row>
    <row r="21" spans="1:24" x14ac:dyDescent="0.25">
      <c r="A21" s="5">
        <v>67</v>
      </c>
      <c r="B21" s="5" t="s">
        <v>82</v>
      </c>
      <c r="C21" s="9" t="s">
        <v>86</v>
      </c>
      <c r="D21" s="9" t="s">
        <v>83</v>
      </c>
      <c r="E21" s="10">
        <v>1</v>
      </c>
      <c r="F21" s="10">
        <v>3</v>
      </c>
      <c r="G21" s="5">
        <v>0</v>
      </c>
      <c r="H21" s="5">
        <v>2</v>
      </c>
      <c r="I21" s="3">
        <f>IF(OR($E21="",$F21=""),"",IF(OR(G21="",H21=""),"",IF(AND(G21=$E21,H21=$F21),2,IF(SIGN(G21-H21)=SIGN($E21-$F21),1,0))))</f>
      </c>
      <c r="J21" s="5"/>
      <c r="K21" s="5"/>
      <c r="L21" s="3">
        <f>IF(OR($E21="",$F21=""),"",IF(OR(J21="",K21=""),"",IF(AND(J21=$E21,K21=$F21),2,IF(SIGN(J21-K21)=SIGN($E21-$F21),1,0))))</f>
      </c>
      <c r="M21" s="5">
        <v>0</v>
      </c>
      <c r="N21" s="5">
        <v>3</v>
      </c>
      <c r="O21" s="3">
        <f>IF(OR($E21="",$F21=""),"",IF(OR(M21="",N21=""),"",IF(AND(M21=$E21,N21=$F21),2,IF(SIGN(M21-N21)=SIGN($E21-$F21),1,0))))</f>
      </c>
      <c r="P21" s="5">
        <v>0</v>
      </c>
      <c r="Q21" s="5">
        <v>5</v>
      </c>
      <c r="R21" s="3">
        <f>IF(OR($E21="",$F21=""),"",IF(OR(P21="",Q21=""),"",IF(AND(P21=$E21,Q21=$F21),2,IF(SIGN(P21-Q21)=SIGN($E21-$F21),1,0))))</f>
      </c>
      <c r="S21" s="5">
        <v>0</v>
      </c>
      <c r="T21" s="5">
        <v>3</v>
      </c>
      <c r="U21" s="3">
        <f>IF(OR($E21="",$F21=""),"",IF(OR(S21="",T21=""),"",IF(AND(S21=$E21,T21=$F21),2,IF(SIGN(S21-T21)=SIGN($E21-$F21),1,0))))</f>
      </c>
      <c r="V21" s="5"/>
      <c r="W21" s="5"/>
      <c r="X21" s="3">
        <f>IF(OR($E21="",$F21=""),"",IF(OR(V21="",W21=""),"",IF(AND(V21=$E21,W21=$F21),2,IF(SIGN(V21-W21)=SIGN($E21-$F21),1,0))))</f>
      </c>
    </row>
    <row r="22" spans="1:24" x14ac:dyDescent="0.25">
      <c r="A22" s="5">
        <v>68</v>
      </c>
      <c r="B22" s="5" t="s">
        <v>82</v>
      </c>
      <c r="C22" s="9" t="s">
        <v>84</v>
      </c>
      <c r="D22" s="9" t="s">
        <v>85</v>
      </c>
      <c r="E22" s="10">
        <v>3</v>
      </c>
      <c r="F22" s="10">
        <v>3</v>
      </c>
      <c r="G22" s="5">
        <v>0</v>
      </c>
      <c r="H22" s="5">
        <v>1</v>
      </c>
      <c r="I22" s="3">
        <f>IF(OR($E22="",$F22=""),"",IF(OR(G22="",H22=""),"",IF(AND(G22=$E22,H22=$F22),2,IF(SIGN(G22-H22)=SIGN($E22-$F22),1,0))))</f>
      </c>
      <c r="J22" s="5"/>
      <c r="K22" s="5"/>
      <c r="L22" s="3">
        <f>IF(OR($E22="",$F22=""),"",IF(OR(J22="",K22=""),"",IF(AND(J22=$E22,K22=$F22),2,IF(SIGN(J22-K22)=SIGN($E22-$F22),1,0))))</f>
      </c>
      <c r="M22" s="5">
        <v>1</v>
      </c>
      <c r="N22" s="5">
        <v>1</v>
      </c>
      <c r="O22" s="3">
        <f>IF(OR($E22="",$F22=""),"",IF(OR(M22="",N22=""),"",IF(AND(M22=$E22,N22=$F22),2,IF(SIGN(M22-N22)=SIGN($E22-$F22),1,0))))</f>
      </c>
      <c r="P22" s="5">
        <v>2</v>
      </c>
      <c r="Q22" s="5">
        <v>2</v>
      </c>
      <c r="R22" s="3">
        <f>IF(OR($E22="",$F22=""),"",IF(OR(P22="",Q22=""),"",IF(AND(P22=$E22,Q22=$F22),2,IF(SIGN(P22-Q22)=SIGN($E22-$F22),1,0))))</f>
      </c>
      <c r="S22" s="5">
        <v>1</v>
      </c>
      <c r="T22" s="5">
        <v>1</v>
      </c>
      <c r="U22" s="3">
        <f>IF(OR($E22="",$F22=""),"",IF(OR(S22="",T22=""),"",IF(AND(S22=$E22,T22=$F22),2,IF(SIGN(S22-T22)=SIGN($E22-$F22),1,0))))</f>
      </c>
      <c r="V22" s="5"/>
      <c r="W22" s="5"/>
      <c r="X22" s="3">
        <f>IF(OR($E22="",$F22=""),"",IF(OR(V22="",W22=""),"",IF(AND(V22=$E22,W22=$F22),2,IF(SIGN(V22-W22)=SIGN($E22-$F22),1,0))))</f>
      </c>
    </row>
    <row r="23" spans="1:24" x14ac:dyDescent="0.25">
      <c r="A23" s="5">
        <v>69</v>
      </c>
      <c r="B23" s="5" t="s">
        <v>87</v>
      </c>
      <c r="C23" s="9" t="s">
        <v>91</v>
      </c>
      <c r="D23" s="9" t="s">
        <v>88</v>
      </c>
      <c r="E23" s="10">
        <v>0</v>
      </c>
      <c r="F23" s="10">
        <v>0</v>
      </c>
      <c r="G23" s="5">
        <v>1</v>
      </c>
      <c r="H23" s="5">
        <v>2</v>
      </c>
      <c r="I23" s="3">
        <f>IF(OR($E23="",$F23=""),"",IF(OR(G23="",H23=""),"",IF(AND(G23=$E23,H23=$F23),2,IF(SIGN(G23-H23)=SIGN($E23-$F23),1,0))))</f>
      </c>
      <c r="J23" s="5"/>
      <c r="K23" s="5"/>
      <c r="L23" s="3">
        <f>IF(OR($E23="",$F23=""),"",IF(OR(J23="",K23=""),"",IF(AND(J23=$E23,K23=$F23),2,IF(SIGN(J23-K23)=SIGN($E23-$F23),1,0))))</f>
      </c>
      <c r="M23" s="5">
        <v>1</v>
      </c>
      <c r="N23" s="5">
        <v>2</v>
      </c>
      <c r="O23" s="3">
        <f>IF(OR($E23="",$F23=""),"",IF(OR(M23="",N23=""),"",IF(AND(M23=$E23,N23=$F23),2,IF(SIGN(M23-N23)=SIGN($E23-$F23),1,0))))</f>
      </c>
      <c r="P23" s="5">
        <v>1</v>
      </c>
      <c r="Q23" s="5">
        <v>2</v>
      </c>
      <c r="R23" s="3">
        <f>IF(OR($E23="",$F23=""),"",IF(OR(P23="",Q23=""),"",IF(AND(P23=$E23,Q23=$F23),2,IF(SIGN(P23-Q23)=SIGN($E23-$F23),1,0))))</f>
      </c>
      <c r="S23" s="5">
        <v>2</v>
      </c>
      <c r="T23" s="5">
        <v>2</v>
      </c>
      <c r="U23" s="3">
        <f>IF(OR($E23="",$F23=""),"",IF(OR(S23="",T23=""),"",IF(AND(S23=$E23,T23=$F23),2,IF(SIGN(S23-T23)=SIGN($E23-$F23),1,0))))</f>
      </c>
      <c r="V23" s="5"/>
      <c r="W23" s="5"/>
      <c r="X23" s="3">
        <f>IF(OR($E23="",$F23=""),"",IF(OR(V23="",W23=""),"",IF(AND(V23=$E23,W23=$F23),2,IF(SIGN(V23-W23)=SIGN($E23-$F23),1,0))))</f>
      </c>
    </row>
    <row r="24" spans="1:24" x14ac:dyDescent="0.25">
      <c r="A24" s="5">
        <v>70</v>
      </c>
      <c r="B24" s="5" t="s">
        <v>87</v>
      </c>
      <c r="C24" s="9" t="s">
        <v>89</v>
      </c>
      <c r="D24" s="9" t="s">
        <v>90</v>
      </c>
      <c r="E24" s="10">
        <v>3</v>
      </c>
      <c r="F24" s="10">
        <v>1</v>
      </c>
      <c r="G24" s="5">
        <v>0</v>
      </c>
      <c r="H24" s="5">
        <v>0</v>
      </c>
      <c r="I24" s="3">
        <f>IF(OR($E24="",$F24=""),"",IF(OR(G24="",H24=""),"",IF(AND(G24=$E24,H24=$F24),2,IF(SIGN(G24-H24)=SIGN($E24-$F24),1,0))))</f>
      </c>
      <c r="J24" s="5"/>
      <c r="K24" s="5"/>
      <c r="L24" s="3">
        <f>IF(OR($E24="",$F24=""),"",IF(OR(J24="",K24=""),"",IF(AND(J24=$E24,K24=$F24),2,IF(SIGN(J24-K24)=SIGN($E24-$F24),1,0))))</f>
      </c>
      <c r="M24" s="5">
        <v>1</v>
      </c>
      <c r="N24" s="5">
        <v>1</v>
      </c>
      <c r="O24" s="3">
        <f>IF(OR($E24="",$F24=""),"",IF(OR(M24="",N24=""),"",IF(AND(M24=$E24,N24=$F24),2,IF(SIGN(M24-N24)=SIGN($E24-$F24),1,0))))</f>
      </c>
      <c r="P24" s="5">
        <v>1</v>
      </c>
      <c r="Q24" s="5">
        <v>1</v>
      </c>
      <c r="R24" s="3">
        <f>IF(OR($E24="",$F24=""),"",IF(OR(P24="",Q24=""),"",IF(AND(P24=$E24,Q24=$F24),2,IF(SIGN(P24-Q24)=SIGN($E24-$F24),1,0))))</f>
      </c>
      <c r="S24" s="5">
        <v>2</v>
      </c>
      <c r="T24" s="5">
        <v>1</v>
      </c>
      <c r="U24" s="3">
        <f>IF(OR($E24="",$F24=""),"",IF(OR(S24="",T24=""),"",IF(AND(S24=$E24,T24=$F24),2,IF(SIGN(S24-T24)=SIGN($E24-$F24),1,0))))</f>
      </c>
      <c r="V24" s="5"/>
      <c r="W24" s="5"/>
      <c r="X24" s="3">
        <f>IF(OR($E24="",$F24=""),"",IF(OR(V24="",W24=""),"",IF(AND(V24=$E24,W24=$F24),2,IF(SIGN(V24-W24)=SIGN($E24-$F24),1,0))))</f>
      </c>
    </row>
    <row r="25" spans="1:24" x14ac:dyDescent="0.25">
      <c r="A25" s="5">
        <v>71</v>
      </c>
      <c r="B25" s="5" t="s">
        <v>92</v>
      </c>
      <c r="C25" s="9" t="s">
        <v>96</v>
      </c>
      <c r="D25" s="9" t="s">
        <v>93</v>
      </c>
      <c r="E25" s="10">
        <v>0</v>
      </c>
      <c r="F25" s="10">
        <v>2</v>
      </c>
      <c r="G25" s="5">
        <v>1</v>
      </c>
      <c r="H25" s="5">
        <v>4</v>
      </c>
      <c r="I25" s="3">
        <f>IF(OR($E25="",$F25=""),"",IF(OR(G25="",H25=""),"",IF(AND(G25=$E25,H25=$F25),2,IF(SIGN(G25-H25)=SIGN($E25-$F25),1,0))))</f>
      </c>
      <c r="J25" s="5"/>
      <c r="K25" s="5"/>
      <c r="L25" s="3">
        <f>IF(OR($E25="",$F25=""),"",IF(OR(J25="",K25=""),"",IF(AND(J25=$E25,K25=$F25),2,IF(SIGN(J25-K25)=SIGN($E25-$F25),1,0))))</f>
      </c>
      <c r="M25" s="5">
        <v>0</v>
      </c>
      <c r="N25" s="5">
        <v>3</v>
      </c>
      <c r="O25" s="3">
        <f>IF(OR($E25="",$F25=""),"",IF(OR(M25="",N25=""),"",IF(AND(M25=$E25,N25=$F25),2,IF(SIGN(M25-N25)=SIGN($E25-$F25),1,0))))</f>
      </c>
      <c r="P25" s="5">
        <v>0</v>
      </c>
      <c r="Q25" s="5">
        <v>4</v>
      </c>
      <c r="R25" s="3">
        <f>IF(OR($E25="",$F25=""),"",IF(OR(P25="",Q25=""),"",IF(AND(P25=$E25,Q25=$F25),2,IF(SIGN(P25-Q25)=SIGN($E25-$F25),1,0))))</f>
      </c>
      <c r="S25" s="5">
        <v>0</v>
      </c>
      <c r="T25" s="5">
        <v>3</v>
      </c>
      <c r="U25" s="3">
        <f>IF(OR($E25="",$F25=""),"",IF(OR(S25="",T25=""),"",IF(AND(S25=$E25,T25=$F25),2,IF(SIGN(S25-T25)=SIGN($E25-$F25),1,0))))</f>
      </c>
      <c r="V25" s="5"/>
      <c r="W25" s="5"/>
      <c r="X25" s="3">
        <f>IF(OR($E25="",$F25=""),"",IF(OR(V25="",W25=""),"",IF(AND(V25=$E25,W25=$F25),2,IF(SIGN(V25-W25)=SIGN($E25-$F25),1,0))))</f>
      </c>
    </row>
    <row r="26" spans="1:24" x14ac:dyDescent="0.25">
      <c r="A26" s="5">
        <v>72</v>
      </c>
      <c r="B26" s="5" t="s">
        <v>92</v>
      </c>
      <c r="C26" s="9" t="s">
        <v>94</v>
      </c>
      <c r="D26" s="9" t="s">
        <v>95</v>
      </c>
      <c r="E26" s="10">
        <v>2</v>
      </c>
      <c r="F26" s="10">
        <v>1</v>
      </c>
      <c r="G26" s="5"/>
      <c r="H26" s="5"/>
      <c r="I26" s="3">
        <f>IF(OR($E26="",$F26=""),"",IF(OR(G26="",H26=""),"",IF(AND(G26=$E26,H26=$F26),2,IF(SIGN(G26-H26)=SIGN($E26-$F26),1,0))))</f>
      </c>
      <c r="J26" s="5"/>
      <c r="K26" s="5"/>
      <c r="L26" s="3">
        <f>IF(OR($E26="",$F26=""),"",IF(OR(J26="",K26=""),"",IF(AND(J26=$E26,K26=$F26),2,IF(SIGN(J26-K26)=SIGN($E26-$F26),1,0))))</f>
      </c>
      <c r="M26" s="5">
        <v>2</v>
      </c>
      <c r="N26" s="5">
        <v>0</v>
      </c>
      <c r="O26" s="3">
        <f>IF(OR($E26="",$F26=""),"",IF(OR(M26="",N26=""),"",IF(AND(M26=$E26,N26=$F26),2,IF(SIGN(M26-N26)=SIGN($E26-$F26),1,0))))</f>
      </c>
      <c r="P26" s="5">
        <v>2</v>
      </c>
      <c r="Q26" s="5">
        <v>1</v>
      </c>
      <c r="R26" s="3">
        <f>IF(OR($E26="",$F26=""),"",IF(OR(P26="",Q26=""),"",IF(AND(P26=$E26,Q26=$F26),2,IF(SIGN(P26-Q26)=SIGN($E26-$F26),1,0))))</f>
      </c>
      <c r="S26" s="5">
        <v>2</v>
      </c>
      <c r="T26" s="5">
        <v>1</v>
      </c>
      <c r="U26" s="3">
        <f>IF(OR($E26="",$F26=""),"",IF(OR(S26="",T26=""),"",IF(AND(S26=$E26,T26=$F26),2,IF(SIGN(S26-T26)=SIGN($E26-$F26),1,0))))</f>
      </c>
      <c r="V26" s="5"/>
      <c r="W26" s="5"/>
      <c r="X26" s="3">
        <f>IF(OR($E26="",$F26=""),"",IF(OR(V26="",W26=""),"",IF(AND(V26=$E26,W26=$F26),2,IF(SIGN(V26-W26)=SIGN($E26-$F26),1,0))))</f>
      </c>
    </row>
    <row r="27" spans="1:24" x14ac:dyDescent="0.25">
      <c r="A27" s="11"/>
      <c r="B27" s="11"/>
      <c r="C27" s="11"/>
      <c r="D27" s="12" t="s">
        <v>97</v>
      </c>
      <c r="E27" s="11"/>
      <c r="F27" s="11"/>
      <c r="G27" s="11"/>
      <c r="H27" s="11"/>
      <c r="I27" s="6">
        <f>SUM(I3:I26)</f>
      </c>
      <c r="J27" s="11"/>
      <c r="K27" s="11"/>
      <c r="L27" s="6">
        <f>SUM(L3:L26)</f>
      </c>
      <c r="M27" s="11"/>
      <c r="N27" s="11"/>
      <c r="O27" s="6">
        <f>SUM(O3:O26)</f>
      </c>
      <c r="P27" s="11"/>
      <c r="Q27" s="11"/>
      <c r="R27" s="6">
        <f>SUM(R3:R26)</f>
      </c>
      <c r="S27" s="11"/>
      <c r="T27" s="11"/>
      <c r="U27" s="6">
        <f>SUM(U3:U26)</f>
      </c>
      <c r="V27" s="11"/>
      <c r="W27" s="11"/>
      <c r="X27" s="6">
        <f>SUM(X3:X26)</f>
      </c>
    </row>
  </sheetData>
  <mergeCells count="8">
    <mergeCell ref="A1:D1"/>
    <mergeCell ref="E1:F1"/>
    <mergeCell ref="G1:I1"/>
    <mergeCell ref="J1:L1"/>
    <mergeCell ref="M1:O1"/>
    <mergeCell ref="P1:R1"/>
    <mergeCell ref="S1:U1"/>
    <mergeCell ref="V1:X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9"/>
  <sheetViews>
    <sheetView workbookViewId="0" showGridLines="0">
      <pane xSplit="6" ySplit="2" topLeftCell="G3" activePane="bottomRight" state="frozen"/>
      <selection pane="bottomRight"/>
    </sheetView>
  </sheetViews>
  <sheetFormatPr defaultRowHeight="15" outlineLevelRow="0" outlineLevelCol="0" x14ac:dyDescent="55"/>
  <cols>
    <col min="1" max="1" width="4" customWidth="1"/>
    <col min="2" max="2" width="6" customWidth="1"/>
    <col min="3" max="4" width="16" customWidth="1"/>
    <col min="5" max="24" width="5" customWidth="1"/>
  </cols>
  <sheetData>
    <row r="1" spans="1:24" x14ac:dyDescent="0.25">
      <c r="A1" s="8" t="s">
        <v>28</v>
      </c>
      <c r="B1" s="8"/>
      <c r="C1" s="8"/>
      <c r="D1" s="8"/>
      <c r="E1" s="8" t="s">
        <v>29</v>
      </c>
      <c r="F1" s="8"/>
      <c r="G1" s="8" t="s">
        <v>15</v>
      </c>
      <c r="H1" s="8"/>
      <c r="I1" s="8"/>
      <c r="J1" s="8" t="s">
        <v>16</v>
      </c>
      <c r="K1" s="8"/>
      <c r="L1" s="8"/>
      <c r="M1" s="8" t="s">
        <v>17</v>
      </c>
      <c r="N1" s="8"/>
      <c r="O1" s="8"/>
      <c r="P1" s="8" t="s">
        <v>18</v>
      </c>
      <c r="Q1" s="8"/>
      <c r="R1" s="8"/>
      <c r="S1" s="8" t="s">
        <v>19</v>
      </c>
      <c r="T1" s="8"/>
      <c r="U1" s="8"/>
      <c r="V1" s="8" t="s">
        <v>20</v>
      </c>
      <c r="W1" s="8"/>
      <c r="X1" s="8"/>
    </row>
    <row r="2" spans="1:24" x14ac:dyDescent="0.25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34</v>
      </c>
      <c r="H2" s="2" t="s">
        <v>35</v>
      </c>
      <c r="I2" s="2" t="s">
        <v>36</v>
      </c>
      <c r="J2" s="2" t="s">
        <v>34</v>
      </c>
      <c r="K2" s="2" t="s">
        <v>35</v>
      </c>
      <c r="L2" s="2" t="s">
        <v>36</v>
      </c>
      <c r="M2" s="2" t="s">
        <v>34</v>
      </c>
      <c r="N2" s="2" t="s">
        <v>35</v>
      </c>
      <c r="O2" s="2" t="s">
        <v>36</v>
      </c>
      <c r="P2" s="2" t="s">
        <v>34</v>
      </c>
      <c r="Q2" s="2" t="s">
        <v>35</v>
      </c>
      <c r="R2" s="2" t="s">
        <v>36</v>
      </c>
      <c r="S2" s="2" t="s">
        <v>34</v>
      </c>
      <c r="T2" s="2" t="s">
        <v>35</v>
      </c>
      <c r="U2" s="2" t="s">
        <v>36</v>
      </c>
      <c r="V2" s="2" t="s">
        <v>34</v>
      </c>
      <c r="W2" s="2" t="s">
        <v>35</v>
      </c>
      <c r="X2" s="2" t="s">
        <v>36</v>
      </c>
    </row>
    <row r="3" spans="1:24" x14ac:dyDescent="0.25">
      <c r="A3" s="5">
        <v>73</v>
      </c>
      <c r="B3" s="5" t="s">
        <v>98</v>
      </c>
      <c r="C3" s="9" t="s">
        <v>39</v>
      </c>
      <c r="D3" s="9" t="s">
        <v>43</v>
      </c>
      <c r="E3" s="10">
        <v>0</v>
      </c>
      <c r="F3" s="10">
        <v>1</v>
      </c>
      <c r="G3" s="5">
        <v>1</v>
      </c>
      <c r="H3" s="5">
        <v>2</v>
      </c>
      <c r="I3" s="3">
        <f>IF(OR($E3="",$F3=""),"",IF(OR(G3="",H3=""),"",IF(AND(G3=$E3,H3=$F3),2,IF(SIGN(G3-H3)=SIGN($E3-$F3),1,0))))</f>
      </c>
      <c r="J3" s="5">
        <v>1</v>
      </c>
      <c r="K3" s="5">
        <v>2</v>
      </c>
      <c r="L3" s="3">
        <f>IF(OR($E3="",$F3=""),"",IF(OR(J3="",K3=""),"",IF(AND(J3=$E3,K3=$F3),2,IF(SIGN(J3-K3)=SIGN($E3-$F3),1,0))))</f>
      </c>
      <c r="M3" s="5">
        <v>1</v>
      </c>
      <c r="N3" s="5">
        <v>2</v>
      </c>
      <c r="O3" s="3">
        <f>IF(OR($E3="",$F3=""),"",IF(OR(M3="",N3=""),"",IF(AND(M3=$E3,N3=$F3),2,IF(SIGN(M3-N3)=SIGN($E3-$F3),1,0))))</f>
      </c>
      <c r="P3" s="5">
        <v>0</v>
      </c>
      <c r="Q3" s="5">
        <v>1</v>
      </c>
      <c r="R3" s="3">
        <f>IF(OR($E3="",$F3=""),"",IF(OR(P3="",Q3=""),"",IF(AND(P3=$E3,Q3=$F3),2,IF(SIGN(P3-Q3)=SIGN($E3-$F3),1,0))))</f>
      </c>
      <c r="S3" s="5">
        <v>1</v>
      </c>
      <c r="T3" s="5">
        <v>2</v>
      </c>
      <c r="U3" s="3">
        <f>IF(OR($E3="",$F3=""),"",IF(OR(S3="",T3=""),"",IF(AND(S3=$E3,T3=$F3),2,IF(SIGN(S3-T3)=SIGN($E3-$F3),1,0))))</f>
      </c>
      <c r="V3" s="5">
        <v>1</v>
      </c>
      <c r="W3" s="5">
        <v>1</v>
      </c>
      <c r="X3" s="3">
        <f>IF(OR($E3="",$F3=""),"",IF(OR(V3="",W3=""),"",IF(AND(V3=$E3,W3=$F3),2,IF(SIGN(V3-W3)=SIGN($E3-$F3),1,0))))</f>
      </c>
    </row>
    <row r="4" spans="1:24" x14ac:dyDescent="0.25">
      <c r="A4" s="5">
        <v>74</v>
      </c>
      <c r="B4" s="5" t="s">
        <v>98</v>
      </c>
      <c r="C4" s="9" t="s">
        <v>58</v>
      </c>
      <c r="D4" s="9" t="s">
        <v>54</v>
      </c>
      <c r="E4" s="10">
        <v>1</v>
      </c>
      <c r="F4" s="10">
        <v>1</v>
      </c>
      <c r="G4" s="5">
        <v>3</v>
      </c>
      <c r="H4" s="5">
        <v>0</v>
      </c>
      <c r="I4" s="3">
        <f>IF(OR($E4="",$F4=""),"",IF(OR(G4="",H4=""),"",IF(AND(G4=$E4,H4=$F4),2,IF(SIGN(G4-H4)=SIGN($E4-$F4),1,0))))</f>
      </c>
      <c r="J4" s="5">
        <v>2</v>
      </c>
      <c r="K4" s="5">
        <v>0</v>
      </c>
      <c r="L4" s="3">
        <f>IF(OR($E4="",$F4=""),"",IF(OR(J4="",K4=""),"",IF(AND(J4=$E4,K4=$F4),2,IF(SIGN(J4-K4)=SIGN($E4-$F4),1,0))))</f>
      </c>
      <c r="M4" s="5">
        <v>3</v>
      </c>
      <c r="N4" s="5">
        <v>0</v>
      </c>
      <c r="O4" s="3">
        <f>IF(OR($E4="",$F4=""),"",IF(OR(M4="",N4=""),"",IF(AND(M4=$E4,N4=$F4),2,IF(SIGN(M4-N4)=SIGN($E4-$F4),1,0))))</f>
      </c>
      <c r="P4" s="5">
        <v>2</v>
      </c>
      <c r="Q4" s="5">
        <v>0</v>
      </c>
      <c r="R4" s="3">
        <f>IF(OR($E4="",$F4=""),"",IF(OR(P4="",Q4=""),"",IF(AND(P4=$E4,Q4=$F4),2,IF(SIGN(P4-Q4)=SIGN($E4-$F4),1,0))))</f>
      </c>
      <c r="S4" s="5">
        <v>3</v>
      </c>
      <c r="T4" s="5">
        <v>1</v>
      </c>
      <c r="U4" s="3">
        <f>IF(OR($E4="",$F4=""),"",IF(OR(S4="",T4=""),"",IF(AND(S4=$E4,T4=$F4),2,IF(SIGN(S4-T4)=SIGN($E4-$F4),1,0))))</f>
      </c>
      <c r="V4" s="5">
        <v>3</v>
      </c>
      <c r="W4" s="5">
        <v>0</v>
      </c>
      <c r="X4" s="3">
        <f>IF(OR($E4="",$F4=""),"",IF(OR(V4="",W4=""),"",IF(AND(V4=$E4,W4=$F4),2,IF(SIGN(V4-W4)=SIGN($E4-$F4),1,0))))</f>
      </c>
    </row>
    <row r="5" spans="1:24" x14ac:dyDescent="0.25">
      <c r="A5" s="5">
        <v>75</v>
      </c>
      <c r="B5" s="5" t="s">
        <v>98</v>
      </c>
      <c r="C5" s="9" t="s">
        <v>63</v>
      </c>
      <c r="D5" s="9" t="s">
        <v>49</v>
      </c>
      <c r="E5" s="10">
        <v>1</v>
      </c>
      <c r="F5" s="10">
        <v>1</v>
      </c>
      <c r="G5" s="5">
        <v>2</v>
      </c>
      <c r="H5" s="5">
        <v>1</v>
      </c>
      <c r="I5" s="3">
        <f>IF(OR($E5="",$F5=""),"",IF(OR(G5="",H5=""),"",IF(AND(G5=$E5,H5=$F5),2,IF(SIGN(G5-H5)=SIGN($E5-$F5),1,0))))</f>
      </c>
      <c r="J5" s="5">
        <v>2</v>
      </c>
      <c r="K5" s="5">
        <v>1</v>
      </c>
      <c r="L5" s="3">
        <f>IF(OR($E5="",$F5=""),"",IF(OR(J5="",K5=""),"",IF(AND(J5=$E5,K5=$F5),2,IF(SIGN(J5-K5)=SIGN($E5-$F5),1,0))))</f>
      </c>
      <c r="M5" s="5">
        <v>1</v>
      </c>
      <c r="N5" s="5">
        <v>1</v>
      </c>
      <c r="O5" s="3">
        <f>IF(OR($E5="",$F5=""),"",IF(OR(M5="",N5=""),"",IF(AND(M5=$E5,N5=$F5),2,IF(SIGN(M5-N5)=SIGN($E5-$F5),1,0))))</f>
      </c>
      <c r="P5" s="5">
        <v>1</v>
      </c>
      <c r="Q5" s="5">
        <v>2</v>
      </c>
      <c r="R5" s="3">
        <f>IF(OR($E5="",$F5=""),"",IF(OR(P5="",Q5=""),"",IF(AND(P5=$E5,Q5=$F5),2,IF(SIGN(P5-Q5)=SIGN($E5-$F5),1,0))))</f>
      </c>
      <c r="S5" s="5">
        <v>2</v>
      </c>
      <c r="T5" s="5">
        <v>1</v>
      </c>
      <c r="U5" s="3">
        <f>IF(OR($E5="",$F5=""),"",IF(OR(S5="",T5=""),"",IF(AND(S5=$E5,T5=$F5),2,IF(SIGN(S5-T5)=SIGN($E5-$F5),1,0))))</f>
      </c>
      <c r="V5" s="5">
        <v>2</v>
      </c>
      <c r="W5" s="5">
        <v>0</v>
      </c>
      <c r="X5" s="3">
        <f>IF(OR($E5="",$F5=""),"",IF(OR(V5="",W5=""),"",IF(AND(V5=$E5,W5=$F5),2,IF(SIGN(V5-W5)=SIGN($E5-$F5),1,0))))</f>
      </c>
    </row>
    <row r="6" spans="1:24" x14ac:dyDescent="0.25">
      <c r="A6" s="5">
        <v>76</v>
      </c>
      <c r="B6" s="5" t="s">
        <v>98</v>
      </c>
      <c r="C6" s="9" t="s">
        <v>48</v>
      </c>
      <c r="D6" s="9" t="s">
        <v>64</v>
      </c>
      <c r="E6" s="10">
        <v>2</v>
      </c>
      <c r="F6" s="10">
        <v>1</v>
      </c>
      <c r="G6" s="5">
        <v>3</v>
      </c>
      <c r="H6" s="5">
        <v>1</v>
      </c>
      <c r="I6" s="3">
        <f>IF(OR($E6="",$F6=""),"",IF(OR(G6="",H6=""),"",IF(AND(G6=$E6,H6=$F6),2,IF(SIGN(G6-H6)=SIGN($E6-$F6),1,0))))</f>
      </c>
      <c r="J6" s="5">
        <v>2</v>
      </c>
      <c r="K6" s="5">
        <v>1</v>
      </c>
      <c r="L6" s="3">
        <f>IF(OR($E6="",$F6=""),"",IF(OR(J6="",K6=""),"",IF(AND(J6=$E6,K6=$F6),2,IF(SIGN(J6-K6)=SIGN($E6-$F6),1,0))))</f>
      </c>
      <c r="M6" s="5">
        <v>2</v>
      </c>
      <c r="N6" s="5">
        <v>0</v>
      </c>
      <c r="O6" s="3">
        <f>IF(OR($E6="",$F6=""),"",IF(OR(M6="",N6=""),"",IF(AND(M6=$E6,N6=$F6),2,IF(SIGN(M6-N6)=SIGN($E6-$F6),1,0))))</f>
      </c>
      <c r="P6" s="5">
        <v>1</v>
      </c>
      <c r="Q6" s="5">
        <v>0</v>
      </c>
      <c r="R6" s="3">
        <f>IF(OR($E6="",$F6=""),"",IF(OR(P6="",Q6=""),"",IF(AND(P6=$E6,Q6=$F6),2,IF(SIGN(P6-Q6)=SIGN($E6-$F6),1,0))))</f>
      </c>
      <c r="S6" s="5">
        <v>2</v>
      </c>
      <c r="T6" s="5">
        <v>2</v>
      </c>
      <c r="U6" s="3">
        <f>IF(OR($E6="",$F6=""),"",IF(OR(S6="",T6=""),"",IF(AND(S6=$E6,T6=$F6),2,IF(SIGN(S6-T6)=SIGN($E6-$F6),1,0))))</f>
      </c>
      <c r="V6" s="5">
        <v>2</v>
      </c>
      <c r="W6" s="5">
        <v>1</v>
      </c>
      <c r="X6" s="3">
        <f>IF(OR($E6="",$F6=""),"",IF(OR(V6="",W6=""),"",IF(AND(V6=$E6,W6=$F6),2,IF(SIGN(V6-W6)=SIGN($E6-$F6),1,0))))</f>
      </c>
    </row>
    <row r="7" spans="1:24" x14ac:dyDescent="0.25">
      <c r="A7" s="5">
        <v>77</v>
      </c>
      <c r="B7" s="5" t="s">
        <v>98</v>
      </c>
      <c r="C7" s="9" t="s">
        <v>78</v>
      </c>
      <c r="D7" s="9" t="s">
        <v>65</v>
      </c>
      <c r="E7" s="10">
        <v>3</v>
      </c>
      <c r="F7" s="10">
        <v>0</v>
      </c>
      <c r="G7" s="5">
        <v>2</v>
      </c>
      <c r="H7" s="5">
        <v>0</v>
      </c>
      <c r="I7" s="3">
        <f>IF(OR($E7="",$F7=""),"",IF(OR(G7="",H7=""),"",IF(AND(G7=$E7,H7=$F7),2,IF(SIGN(G7-H7)=SIGN($E7-$F7),1,0))))</f>
      </c>
      <c r="J7" s="5">
        <v>2</v>
      </c>
      <c r="K7" s="5">
        <v>0</v>
      </c>
      <c r="L7" s="3">
        <f>IF(OR($E7="",$F7=""),"",IF(OR(J7="",K7=""),"",IF(AND(J7=$E7,K7=$F7),2,IF(SIGN(J7-K7)=SIGN($E7-$F7),1,0))))</f>
      </c>
      <c r="M7" s="5">
        <v>2</v>
      </c>
      <c r="N7" s="5">
        <v>1</v>
      </c>
      <c r="O7" s="3">
        <f>IF(OR($E7="",$F7=""),"",IF(OR(M7="",N7=""),"",IF(AND(M7=$E7,N7=$F7),2,IF(SIGN(M7-N7)=SIGN($E7-$F7),1,0))))</f>
      </c>
      <c r="P7" s="5">
        <v>1</v>
      </c>
      <c r="Q7" s="5">
        <v>0</v>
      </c>
      <c r="R7" s="3">
        <f>IF(OR($E7="",$F7=""),"",IF(OR(P7="",Q7=""),"",IF(AND(P7=$E7,Q7=$F7),2,IF(SIGN(P7-Q7)=SIGN($E7-$F7),1,0))))</f>
      </c>
      <c r="S7" s="5">
        <v>3</v>
      </c>
      <c r="T7" s="5">
        <v>1</v>
      </c>
      <c r="U7" s="3">
        <f>IF(OR($E7="",$F7=""),"",IF(OR(S7="",T7=""),"",IF(AND(S7=$E7,T7=$F7),2,IF(SIGN(S7-T7)=SIGN($E7-$F7),1,0))))</f>
      </c>
      <c r="V7" s="5">
        <v>3</v>
      </c>
      <c r="W7" s="5">
        <v>0</v>
      </c>
      <c r="X7" s="3">
        <f>IF(OR($E7="",$F7=""),"",IF(OR(V7="",W7=""),"",IF(AND(V7=$E7,W7=$F7),2,IF(SIGN(V7-W7)=SIGN($E7-$F7),1,0))))</f>
      </c>
    </row>
    <row r="8" spans="1:24" x14ac:dyDescent="0.25">
      <c r="A8" s="5">
        <v>78</v>
      </c>
      <c r="B8" s="5" t="s">
        <v>98</v>
      </c>
      <c r="C8" s="9" t="s">
        <v>60</v>
      </c>
      <c r="D8" s="9" t="s">
        <v>81</v>
      </c>
      <c r="E8" s="10">
        <v>1</v>
      </c>
      <c r="F8" s="10">
        <v>2</v>
      </c>
      <c r="G8" s="5">
        <v>1</v>
      </c>
      <c r="H8" s="5">
        <v>2</v>
      </c>
      <c r="I8" s="3">
        <f>IF(OR($E8="",$F8=""),"",IF(OR(G8="",H8=""),"",IF(AND(G8=$E8,H8=$F8),2,IF(SIGN(G8-H8)=SIGN($E8-$F8),1,0))))</f>
      </c>
      <c r="J8" s="5">
        <v>0</v>
      </c>
      <c r="K8" s="5">
        <v>2</v>
      </c>
      <c r="L8" s="3">
        <f>IF(OR($E8="",$F8=""),"",IF(OR(J8="",K8=""),"",IF(AND(J8=$E8,K8=$F8),2,IF(SIGN(J8-K8)=SIGN($E8-$F8),1,0))))</f>
      </c>
      <c r="M8" s="5">
        <v>1</v>
      </c>
      <c r="N8" s="5">
        <v>1</v>
      </c>
      <c r="O8" s="3">
        <f>IF(OR($E8="",$F8=""),"",IF(OR(M8="",N8=""),"",IF(AND(M8=$E8,N8=$F8),2,IF(SIGN(M8-N8)=SIGN($E8-$F8),1,0))))</f>
      </c>
      <c r="P8" s="5">
        <v>0</v>
      </c>
      <c r="Q8" s="5">
        <v>2</v>
      </c>
      <c r="R8" s="3">
        <f>IF(OR($E8="",$F8=""),"",IF(OR(P8="",Q8=""),"",IF(AND(P8=$E8,Q8=$F8),2,IF(SIGN(P8-Q8)=SIGN($E8-$F8),1,0))))</f>
      </c>
      <c r="S8" s="5">
        <v>1</v>
      </c>
      <c r="T8" s="5">
        <v>2</v>
      </c>
      <c r="U8" s="3">
        <f>IF(OR($E8="",$F8=""),"",IF(OR(S8="",T8=""),"",IF(AND(S8=$E8,T8=$F8),2,IF(SIGN(S8-T8)=SIGN($E8-$F8),1,0))))</f>
      </c>
      <c r="V8" s="5">
        <v>0</v>
      </c>
      <c r="W8" s="5">
        <v>2</v>
      </c>
      <c r="X8" s="3">
        <f>IF(OR($E8="",$F8=""),"",IF(OR(V8="",W8=""),"",IF(AND(V8=$E8,W8=$F8),2,IF(SIGN(V8-W8)=SIGN($E8-$F8),1,0))))</f>
      </c>
    </row>
    <row r="9" spans="1:24" x14ac:dyDescent="0.25">
      <c r="A9" s="5">
        <v>79</v>
      </c>
      <c r="B9" s="5" t="s">
        <v>98</v>
      </c>
      <c r="C9" s="9" t="s">
        <v>38</v>
      </c>
      <c r="D9" s="9" t="s">
        <v>61</v>
      </c>
      <c r="E9" s="10">
        <v>2</v>
      </c>
      <c r="F9" s="10">
        <v>0</v>
      </c>
      <c r="G9" s="5">
        <v>3</v>
      </c>
      <c r="H9" s="5">
        <v>1</v>
      </c>
      <c r="I9" s="3">
        <f>IF(OR($E9="",$F9=""),"",IF(OR(G9="",H9=""),"",IF(AND(G9=$E9,H9=$F9),2,IF(SIGN(G9-H9)=SIGN($E9-$F9),1,0))))</f>
      </c>
      <c r="J9" s="5">
        <v>1</v>
      </c>
      <c r="K9" s="5">
        <v>1</v>
      </c>
      <c r="L9" s="3">
        <f>IF(OR($E9="",$F9=""),"",IF(OR(J9="",K9=""),"",IF(AND(J9=$E9,K9=$F9),2,IF(SIGN(J9-K9)=SIGN($E9-$F9),1,0))))</f>
      </c>
      <c r="M9" s="5">
        <v>1</v>
      </c>
      <c r="N9" s="5">
        <v>2</v>
      </c>
      <c r="O9" s="3">
        <f>IF(OR($E9="",$F9=""),"",IF(OR(M9="",N9=""),"",IF(AND(M9=$E9,N9=$F9),2,IF(SIGN(M9-N9)=SIGN($E9-$F9),1,0))))</f>
      </c>
      <c r="P9" s="5">
        <v>1</v>
      </c>
      <c r="Q9" s="5">
        <v>0</v>
      </c>
      <c r="R9" s="3">
        <f>IF(OR($E9="",$F9=""),"",IF(OR(P9="",Q9=""),"",IF(AND(P9=$E9,Q9=$F9),2,IF(SIGN(P9-Q9)=SIGN($E9-$F9),1,0))))</f>
      </c>
      <c r="S9" s="5">
        <v>1</v>
      </c>
      <c r="T9" s="5">
        <v>1</v>
      </c>
      <c r="U9" s="3">
        <f>IF(OR($E9="",$F9=""),"",IF(OR(S9="",T9=""),"",IF(AND(S9=$E9,T9=$F9),2,IF(SIGN(S9-T9)=SIGN($E9-$F9),1,0))))</f>
      </c>
      <c r="V9" s="5">
        <v>2</v>
      </c>
      <c r="W9" s="5">
        <v>1</v>
      </c>
      <c r="X9" s="3">
        <f>IF(OR($E9="",$F9=""),"",IF(OR(V9="",W9=""),"",IF(AND(V9=$E9,W9=$F9),2,IF(SIGN(V9-W9)=SIGN($E9-$F9),1,0))))</f>
      </c>
    </row>
    <row r="10" spans="1:24" x14ac:dyDescent="0.25">
      <c r="A10" s="5">
        <v>80</v>
      </c>
      <c r="B10" s="5" t="s">
        <v>98</v>
      </c>
      <c r="C10" s="9" t="s">
        <v>93</v>
      </c>
      <c r="D10" s="9" t="s">
        <v>89</v>
      </c>
      <c r="E10" s="10">
        <v>2</v>
      </c>
      <c r="F10" s="10">
        <v>1</v>
      </c>
      <c r="G10" s="5">
        <v>4</v>
      </c>
      <c r="H10" s="5">
        <v>0</v>
      </c>
      <c r="I10" s="3">
        <f>IF(OR($E10="",$F10=""),"",IF(OR(G10="",H10=""),"",IF(AND(G10=$E10,H10=$F10),2,IF(SIGN(G10-H10)=SIGN($E10-$F10),1,0))))</f>
      </c>
      <c r="J10" s="5">
        <v>2</v>
      </c>
      <c r="K10" s="5">
        <v>0</v>
      </c>
      <c r="L10" s="3">
        <f>IF(OR($E10="",$F10=""),"",IF(OR(J10="",K10=""),"",IF(AND(J10=$E10,K10=$F10),2,IF(SIGN(J10-K10)=SIGN($E10-$F10),1,0))))</f>
      </c>
      <c r="M10" s="5">
        <v>3</v>
      </c>
      <c r="N10" s="5">
        <v>0</v>
      </c>
      <c r="O10" s="3">
        <f>IF(OR($E10="",$F10=""),"",IF(OR(M10="",N10=""),"",IF(AND(M10=$E10,N10=$F10),2,IF(SIGN(M10-N10)=SIGN($E10-$F10),1,0))))</f>
      </c>
      <c r="P10" s="5">
        <v>2</v>
      </c>
      <c r="Q10" s="5">
        <v>0</v>
      </c>
      <c r="R10" s="3">
        <f>IF(OR($E10="",$F10=""),"",IF(OR(P10="",Q10=""),"",IF(AND(P10=$E10,Q10=$F10),2,IF(SIGN(P10-Q10)=SIGN($E10-$F10),1,0))))</f>
      </c>
      <c r="S10" s="5">
        <v>2</v>
      </c>
      <c r="T10" s="5">
        <v>0</v>
      </c>
      <c r="U10" s="3">
        <f>IF(OR($E10="",$F10=""),"",IF(OR(S10="",T10=""),"",IF(AND(S10=$E10,T10=$F10),2,IF(SIGN(S10-T10)=SIGN($E10-$F10),1,0))))</f>
      </c>
      <c r="V10" s="5">
        <v>2</v>
      </c>
      <c r="W10" s="5">
        <v>0</v>
      </c>
      <c r="X10" s="3">
        <f>IF(OR($E10="",$F10=""),"",IF(OR(V10="",W10=""),"",IF(AND(V10=$E10,W10=$F10),2,IF(SIGN(V10-W10)=SIGN($E10-$F10),1,0))))</f>
      </c>
    </row>
    <row r="11" spans="1:24" x14ac:dyDescent="0.25">
      <c r="A11" s="5">
        <v>81</v>
      </c>
      <c r="B11" s="5" t="s">
        <v>98</v>
      </c>
      <c r="C11" s="9" t="s">
        <v>53</v>
      </c>
      <c r="D11" s="9" t="s">
        <v>44</v>
      </c>
      <c r="E11" s="10">
        <v>2</v>
      </c>
      <c r="F11" s="10">
        <v>0</v>
      </c>
      <c r="G11" s="5">
        <v>1</v>
      </c>
      <c r="H11" s="5">
        <v>0</v>
      </c>
      <c r="I11" s="3">
        <f>IF(OR($E11="",$F11=""),"",IF(OR(G11="",H11=""),"",IF(AND(G11=$E11,H11=$F11),2,IF(SIGN(G11-H11)=SIGN($E11-$F11),1,0))))</f>
      </c>
      <c r="J11" s="5">
        <v>1</v>
      </c>
      <c r="K11" s="5">
        <v>0</v>
      </c>
      <c r="L11" s="3">
        <f>IF(OR($E11="",$F11=""),"",IF(OR(J11="",K11=""),"",IF(AND(J11=$E11,K11=$F11),2,IF(SIGN(J11-K11)=SIGN($E11-$F11),1,0))))</f>
      </c>
      <c r="M11" s="5">
        <v>2</v>
      </c>
      <c r="N11" s="5">
        <v>1</v>
      </c>
      <c r="O11" s="3">
        <f>IF(OR($E11="",$F11=""),"",IF(OR(M11="",N11=""),"",IF(AND(M11=$E11,N11=$F11),2,IF(SIGN(M11-N11)=SIGN($E11-$F11),1,0))))</f>
      </c>
      <c r="P11" s="5">
        <v>3</v>
      </c>
      <c r="Q11" s="5">
        <v>1</v>
      </c>
      <c r="R11" s="3">
        <f>IF(OR($E11="",$F11=""),"",IF(OR(P11="",Q11=""),"",IF(AND(P11=$E11,Q11=$F11),2,IF(SIGN(P11-Q11)=SIGN($E11-$F11),1,0))))</f>
      </c>
      <c r="S11" s="5">
        <v>2</v>
      </c>
      <c r="T11" s="5">
        <v>1</v>
      </c>
      <c r="U11" s="3">
        <f>IF(OR($E11="",$F11=""),"",IF(OR(S11="",T11=""),"",IF(AND(S11=$E11,T11=$F11),2,IF(SIGN(S11-T11)=SIGN($E11-$F11),1,0))))</f>
      </c>
      <c r="V11" s="5">
        <v>2</v>
      </c>
      <c r="W11" s="5">
        <v>1</v>
      </c>
      <c r="X11" s="3">
        <f>IF(OR($E11="",$F11=""),"",IF(OR(V11="",W11=""),"",IF(AND(V11=$E11,W11=$F11),2,IF(SIGN(V11-W11)=SIGN($E11-$F11),1,0))))</f>
      </c>
    </row>
    <row r="12" spans="1:24" x14ac:dyDescent="0.25">
      <c r="A12" s="5">
        <v>82</v>
      </c>
      <c r="B12" s="5" t="s">
        <v>98</v>
      </c>
      <c r="C12" s="9" t="s">
        <v>68</v>
      </c>
      <c r="D12" s="9" t="s">
        <v>79</v>
      </c>
      <c r="E12" s="10">
        <v>3</v>
      </c>
      <c r="F12" s="10">
        <v>2</v>
      </c>
      <c r="G12" s="5">
        <v>1</v>
      </c>
      <c r="H12" s="5">
        <v>2</v>
      </c>
      <c r="I12" s="3">
        <f>IF(OR($E12="",$F12=""),"",IF(OR(G12="",H12=""),"",IF(AND(G12=$E12,H12=$F12),2,IF(SIGN(G12-H12)=SIGN($E12-$F12),1,0))))</f>
      </c>
      <c r="J12" s="5">
        <v>2</v>
      </c>
      <c r="K12" s="5">
        <v>0</v>
      </c>
      <c r="L12" s="3">
        <f>IF(OR($E12="",$F12=""),"",IF(OR(J12="",K12=""),"",IF(AND(J12=$E12,K12=$F12),2,IF(SIGN(J12-K12)=SIGN($E12-$F12),1,0))))</f>
      </c>
      <c r="M12" s="5">
        <v>1</v>
      </c>
      <c r="N12" s="5">
        <v>1</v>
      </c>
      <c r="O12" s="3">
        <f>IF(OR($E12="",$F12=""),"",IF(OR(M12="",N12=""),"",IF(AND(M12=$E12,N12=$F12),2,IF(SIGN(M12-N12)=SIGN($E12-$F12),1,0))))</f>
      </c>
      <c r="P12" s="5">
        <v>1</v>
      </c>
      <c r="Q12" s="5">
        <v>2</v>
      </c>
      <c r="R12" s="3">
        <f>IF(OR($E12="",$F12=""),"",IF(OR(P12="",Q12=""),"",IF(AND(P12=$E12,Q12=$F12),2,IF(SIGN(P12-Q12)=SIGN($E12-$F12),1,0))))</f>
      </c>
      <c r="S12" s="5">
        <v>2</v>
      </c>
      <c r="T12" s="5">
        <v>1</v>
      </c>
      <c r="U12" s="3">
        <f>IF(OR($E12="",$F12=""),"",IF(OR(S12="",T12=""),"",IF(AND(S12=$E12,T12=$F12),2,IF(SIGN(S12-T12)=SIGN($E12-$F12),1,0))))</f>
      </c>
      <c r="V12" s="5">
        <v>2</v>
      </c>
      <c r="W12" s="5">
        <v>0</v>
      </c>
      <c r="X12" s="3">
        <f>IF(OR($E12="",$F12=""),"",IF(OR(V12="",W12=""),"",IF(AND(V12=$E12,W12=$F12),2,IF(SIGN(V12-W12)=SIGN($E12-$F12),1,0))))</f>
      </c>
    </row>
    <row r="13" spans="1:24" x14ac:dyDescent="0.25">
      <c r="A13" s="5">
        <v>83</v>
      </c>
      <c r="B13" s="5" t="s">
        <v>98</v>
      </c>
      <c r="C13" s="9" t="s">
        <v>94</v>
      </c>
      <c r="D13" s="9" t="s">
        <v>88</v>
      </c>
      <c r="E13" s="10">
        <v>1</v>
      </c>
      <c r="F13" s="10">
        <v>2</v>
      </c>
      <c r="G13" s="5">
        <v>1</v>
      </c>
      <c r="H13" s="5">
        <v>1</v>
      </c>
      <c r="I13" s="3">
        <f>IF(OR($E13="",$F13=""),"",IF(OR(G13="",H13=""),"",IF(AND(G13=$E13,H13=$F13),2,IF(SIGN(G13-H13)=SIGN($E13-$F13),1,0))))</f>
      </c>
      <c r="J13" s="5">
        <v>1</v>
      </c>
      <c r="K13" s="5">
        <v>2</v>
      </c>
      <c r="L13" s="3">
        <f>IF(OR($E13="",$F13=""),"",IF(OR(J13="",K13=""),"",IF(AND(J13=$E13,K13=$F13),2,IF(SIGN(J13-K13)=SIGN($E13-$F13),1,0))))</f>
      </c>
      <c r="M13" s="5">
        <v>1</v>
      </c>
      <c r="N13" s="5">
        <v>2</v>
      </c>
      <c r="O13" s="3">
        <f>IF(OR($E13="",$F13=""),"",IF(OR(M13="",N13=""),"",IF(AND(M13=$E13,N13=$F13),2,IF(SIGN(M13-N13)=SIGN($E13-$F13),1,0))))</f>
      </c>
      <c r="P13" s="5">
        <v>1</v>
      </c>
      <c r="Q13" s="5">
        <v>2</v>
      </c>
      <c r="R13" s="3">
        <f>IF(OR($E13="",$F13=""),"",IF(OR(P13="",Q13=""),"",IF(AND(P13=$E13,Q13=$F13),2,IF(SIGN(P13-Q13)=SIGN($E13-$F13),1,0))))</f>
      </c>
      <c r="S13" s="5">
        <v>1</v>
      </c>
      <c r="T13" s="5">
        <v>1</v>
      </c>
      <c r="U13" s="3">
        <f>IF(OR($E13="",$F13=""),"",IF(OR(S13="",T13=""),"",IF(AND(S13=$E13,T13=$F13),2,IF(SIGN(S13-T13)=SIGN($E13-$F13),1,0))))</f>
      </c>
      <c r="V13" s="5">
        <v>1</v>
      </c>
      <c r="W13" s="5">
        <v>1</v>
      </c>
      <c r="X13" s="3">
        <f>IF(OR($E13="",$F13=""),"",IF(OR(V13="",W13=""),"",IF(AND(V13=$E13,W13=$F13),2,IF(SIGN(V13-W13)=SIGN($E13-$F13),1,0))))</f>
      </c>
    </row>
    <row r="14" spans="1:24" x14ac:dyDescent="0.25">
      <c r="A14" s="5">
        <v>84</v>
      </c>
      <c r="B14" s="5" t="s">
        <v>98</v>
      </c>
      <c r="C14" s="9" t="s">
        <v>73</v>
      </c>
      <c r="D14" s="9" t="s">
        <v>85</v>
      </c>
      <c r="E14" s="10">
        <v>3</v>
      </c>
      <c r="F14" s="10">
        <v>0</v>
      </c>
      <c r="G14" s="5">
        <v>3</v>
      </c>
      <c r="H14" s="5">
        <v>0</v>
      </c>
      <c r="I14" s="3">
        <f>IF(OR($E14="",$F14=""),"",IF(OR(G14="",H14=""),"",IF(AND(G14=$E14,H14=$F14),2,IF(SIGN(G14-H14)=SIGN($E14-$F14),1,0))))</f>
      </c>
      <c r="J14" s="5">
        <v>2</v>
      </c>
      <c r="K14" s="5">
        <v>1</v>
      </c>
      <c r="L14" s="3">
        <f>IF(OR($E14="",$F14=""),"",IF(OR(J14="",K14=""),"",IF(AND(J14=$E14,K14=$F14),2,IF(SIGN(J14-K14)=SIGN($E14-$F14),1,0))))</f>
      </c>
      <c r="M14" s="5">
        <v>2</v>
      </c>
      <c r="N14" s="5">
        <v>0</v>
      </c>
      <c r="O14" s="3">
        <f>IF(OR($E14="",$F14=""),"",IF(OR(M14="",N14=""),"",IF(AND(M14=$E14,N14=$F14),2,IF(SIGN(M14-N14)=SIGN($E14-$F14),1,0))))</f>
      </c>
      <c r="P14" s="5">
        <v>1</v>
      </c>
      <c r="Q14" s="5">
        <v>0</v>
      </c>
      <c r="R14" s="3">
        <f>IF(OR($E14="",$F14=""),"",IF(OR(P14="",Q14=""),"",IF(AND(P14=$E14,Q14=$F14),2,IF(SIGN(P14-Q14)=SIGN($E14-$F14),1,0))))</f>
      </c>
      <c r="S14" s="5">
        <v>2</v>
      </c>
      <c r="T14" s="5">
        <v>1</v>
      </c>
      <c r="U14" s="3">
        <f>IF(OR($E14="",$F14=""),"",IF(OR(S14="",T14=""),"",IF(AND(S14=$E14,T14=$F14),2,IF(SIGN(S14-T14)=SIGN($E14-$F14),1,0))))</f>
      </c>
      <c r="V14" s="5">
        <v>2</v>
      </c>
      <c r="W14" s="5">
        <v>0</v>
      </c>
      <c r="X14" s="3">
        <f>IF(OR($E14="",$F14=""),"",IF(OR(V14="",W14=""),"",IF(AND(V14=$E14,W14=$F14),2,IF(SIGN(V14-W14)=SIGN($E14-$F14),1,0))))</f>
      </c>
    </row>
    <row r="15" spans="1:24" x14ac:dyDescent="0.25">
      <c r="A15" s="5">
        <v>85</v>
      </c>
      <c r="B15" s="5" t="s">
        <v>98</v>
      </c>
      <c r="C15" s="9" t="s">
        <v>46</v>
      </c>
      <c r="D15" s="9" t="s">
        <v>84</v>
      </c>
      <c r="E15" s="10">
        <v>2</v>
      </c>
      <c r="F15" s="10">
        <v>0</v>
      </c>
      <c r="G15" s="5">
        <v>2</v>
      </c>
      <c r="H15" s="5">
        <v>0</v>
      </c>
      <c r="I15" s="3">
        <f>IF(OR($E15="",$F15=""),"",IF(OR(G15="",H15=""),"",IF(AND(G15=$E15,H15=$F15),2,IF(SIGN(G15-H15)=SIGN($E15-$F15),1,0))))</f>
      </c>
      <c r="J15" s="5">
        <v>1</v>
      </c>
      <c r="K15" s="5">
        <v>0</v>
      </c>
      <c r="L15" s="3">
        <f>IF(OR($E15="",$F15=""),"",IF(OR(J15="",K15=""),"",IF(AND(J15=$E15,K15=$F15),2,IF(SIGN(J15-K15)=SIGN($E15-$F15),1,0))))</f>
      </c>
      <c r="M15" s="5">
        <v>1</v>
      </c>
      <c r="N15" s="5">
        <v>0</v>
      </c>
      <c r="O15" s="3">
        <f>IF(OR($E15="",$F15=""),"",IF(OR(M15="",N15=""),"",IF(AND(M15=$E15,N15=$F15),2,IF(SIGN(M15-N15)=SIGN($E15-$F15),1,0))))</f>
      </c>
      <c r="P15" s="5">
        <v>2</v>
      </c>
      <c r="Q15" s="5">
        <v>0</v>
      </c>
      <c r="R15" s="3">
        <f>IF(OR($E15="",$F15=""),"",IF(OR(P15="",Q15=""),"",IF(AND(P15=$E15,Q15=$F15),2,IF(SIGN(P15-Q15)=SIGN($E15-$F15),1,0))))</f>
      </c>
      <c r="S15" s="5">
        <v>2</v>
      </c>
      <c r="T15" s="5">
        <v>1</v>
      </c>
      <c r="U15" s="3">
        <f>IF(OR($E15="",$F15=""),"",IF(OR(S15="",T15=""),"",IF(AND(S15=$E15,T15=$F15),2,IF(SIGN(S15-T15)=SIGN($E15-$F15),1,0))))</f>
      </c>
      <c r="V15" s="5">
        <v>1</v>
      </c>
      <c r="W15" s="5">
        <v>1</v>
      </c>
      <c r="X15" s="3">
        <f>IF(OR($E15="",$F15=""),"",IF(OR(V15="",W15=""),"",IF(AND(V15=$E15,W15=$F15),2,IF(SIGN(V15-W15)=SIGN($E15-$F15),1,0))))</f>
      </c>
    </row>
    <row r="16" spans="1:24" x14ac:dyDescent="0.25">
      <c r="A16" s="5">
        <v>86</v>
      </c>
      <c r="B16" s="5" t="s">
        <v>98</v>
      </c>
      <c r="C16" s="9" t="s">
        <v>83</v>
      </c>
      <c r="D16" s="9" t="s">
        <v>74</v>
      </c>
      <c r="E16" s="10">
        <v>1</v>
      </c>
      <c r="F16" s="10">
        <v>1</v>
      </c>
      <c r="G16" s="5">
        <v>4</v>
      </c>
      <c r="H16" s="5">
        <v>0</v>
      </c>
      <c r="I16" s="3">
        <f>IF(OR($E16="",$F16=""),"",IF(OR(G16="",H16=""),"",IF(AND(G16=$E16,H16=$F16),2,IF(SIGN(G16-H16)=SIGN($E16-$F16),1,0))))</f>
      </c>
      <c r="J16" s="5">
        <v>2</v>
      </c>
      <c r="K16" s="5">
        <v>0</v>
      </c>
      <c r="L16" s="3">
        <f>IF(OR($E16="",$F16=""),"",IF(OR(J16="",K16=""),"",IF(AND(J16=$E16,K16=$F16),2,IF(SIGN(J16-K16)=SIGN($E16-$F16),1,0))))</f>
      </c>
      <c r="M16" s="5">
        <v>4</v>
      </c>
      <c r="N16" s="5">
        <v>0</v>
      </c>
      <c r="O16" s="3">
        <f>IF(OR($E16="",$F16=""),"",IF(OR(M16="",N16=""),"",IF(AND(M16=$E16,N16=$F16),2,IF(SIGN(M16-N16)=SIGN($E16-$F16),1,0))))</f>
      </c>
      <c r="P16" s="5">
        <v>2</v>
      </c>
      <c r="Q16" s="5">
        <v>0</v>
      </c>
      <c r="R16" s="3">
        <f>IF(OR($E16="",$F16=""),"",IF(OR(P16="",Q16=""),"",IF(AND(P16=$E16,Q16=$F16),2,IF(SIGN(P16-Q16)=SIGN($E16-$F16),1,0))))</f>
      </c>
      <c r="S16" s="5">
        <v>3</v>
      </c>
      <c r="T16" s="5">
        <v>0</v>
      </c>
      <c r="U16" s="3">
        <f>IF(OR($E16="",$F16=""),"",IF(OR(S16="",T16=""),"",IF(AND(S16=$E16,T16=$F16),2,IF(SIGN(S16-T16)=SIGN($E16-$F16),1,0))))</f>
      </c>
      <c r="V16" s="5">
        <v>3</v>
      </c>
      <c r="W16" s="5">
        <v>1</v>
      </c>
      <c r="X16" s="3">
        <f>IF(OR($E16="",$F16=""),"",IF(OR(V16="",W16=""),"",IF(AND(V16=$E16,W16=$F16),2,IF(SIGN(V16-W16)=SIGN($E16-$F16),1,0))))</f>
      </c>
    </row>
    <row r="17" spans="1:24" x14ac:dyDescent="0.25">
      <c r="A17" s="5">
        <v>87</v>
      </c>
      <c r="B17" s="5" t="s">
        <v>98</v>
      </c>
      <c r="C17" s="9" t="s">
        <v>91</v>
      </c>
      <c r="D17" s="9" t="s">
        <v>95</v>
      </c>
      <c r="E17" s="10">
        <v>1</v>
      </c>
      <c r="F17" s="10">
        <v>0</v>
      </c>
      <c r="G17" s="5">
        <v>1</v>
      </c>
      <c r="H17" s="5">
        <v>2</v>
      </c>
      <c r="I17" s="3">
        <f>IF(OR($E17="",$F17=""),"",IF(OR(G17="",H17=""),"",IF(AND(G17=$E17,H17=$F17),2,IF(SIGN(G17-H17)=SIGN($E17-$F17),1,0))))</f>
      </c>
      <c r="J17" s="5">
        <v>1</v>
      </c>
      <c r="K17" s="5">
        <v>0</v>
      </c>
      <c r="L17" s="3">
        <f>IF(OR($E17="",$F17=""),"",IF(OR(J17="",K17=""),"",IF(AND(J17=$E17,K17=$F17),2,IF(SIGN(J17-K17)=SIGN($E17-$F17),1,0))))</f>
      </c>
      <c r="M17" s="5">
        <v>2</v>
      </c>
      <c r="N17" s="5">
        <v>0</v>
      </c>
      <c r="O17" s="3">
        <f>IF(OR($E17="",$F17=""),"",IF(OR(M17="",N17=""),"",IF(AND(M17=$E17,N17=$F17),2,IF(SIGN(M17-N17)=SIGN($E17-$F17),1,0))))</f>
      </c>
      <c r="P17" s="5">
        <v>2</v>
      </c>
      <c r="Q17" s="5">
        <v>0</v>
      </c>
      <c r="R17" s="3">
        <f>IF(OR($E17="",$F17=""),"",IF(OR(P17="",Q17=""),"",IF(AND(P17=$E17,Q17=$F17),2,IF(SIGN(P17-Q17)=SIGN($E17-$F17),1,0))))</f>
      </c>
      <c r="S17" s="5">
        <v>2</v>
      </c>
      <c r="T17" s="5">
        <v>1</v>
      </c>
      <c r="U17" s="3">
        <f>IF(OR($E17="",$F17=""),"",IF(OR(S17="",T17=""),"",IF(AND(S17=$E17,T17=$F17),2,IF(SIGN(S17-T17)=SIGN($E17-$F17),1,0))))</f>
      </c>
      <c r="V17" s="5">
        <v>2</v>
      </c>
      <c r="W17" s="5">
        <v>0</v>
      </c>
      <c r="X17" s="3">
        <f>IF(OR($E17="",$F17=""),"",IF(OR(V17="",W17=""),"",IF(AND(V17=$E17,W17=$F17),2,IF(SIGN(V17-W17)=SIGN($E17-$F17),1,0))))</f>
      </c>
    </row>
    <row r="18" spans="1:24" x14ac:dyDescent="0.25">
      <c r="A18" s="5">
        <v>88</v>
      </c>
      <c r="B18" s="5" t="s">
        <v>98</v>
      </c>
      <c r="C18" s="9" t="s">
        <v>55</v>
      </c>
      <c r="D18" s="9" t="s">
        <v>69</v>
      </c>
      <c r="E18" s="10">
        <v>1</v>
      </c>
      <c r="F18" s="10">
        <v>1</v>
      </c>
      <c r="G18" s="5">
        <v>2</v>
      </c>
      <c r="H18" s="5">
        <v>0</v>
      </c>
      <c r="I18" s="3">
        <f>IF(OR($E18="",$F18=""),"",IF(OR(G18="",H18=""),"",IF(AND(G18=$E18,H18=$F18),2,IF(SIGN(G18-H18)=SIGN($E18-$F18),1,0))))</f>
      </c>
      <c r="J18" s="5">
        <v>1</v>
      </c>
      <c r="K18" s="5">
        <v>0</v>
      </c>
      <c r="L18" s="3">
        <f>IF(OR($E18="",$F18=""),"",IF(OR(J18="",K18=""),"",IF(AND(J18=$E18,K18=$F18),2,IF(SIGN(J18-K18)=SIGN($E18-$F18),1,0))))</f>
      </c>
      <c r="M18" s="5">
        <v>1</v>
      </c>
      <c r="N18" s="5">
        <v>1</v>
      </c>
      <c r="O18" s="3">
        <f>IF(OR($E18="",$F18=""),"",IF(OR(M18="",N18=""),"",IF(AND(M18=$E18,N18=$F18),2,IF(SIGN(M18-N18)=SIGN($E18-$F18),1,0))))</f>
      </c>
      <c r="P18" s="5">
        <v>1</v>
      </c>
      <c r="Q18" s="5">
        <v>2</v>
      </c>
      <c r="R18" s="3">
        <f>IF(OR($E18="",$F18=""),"",IF(OR(P18="",Q18=""),"",IF(AND(P18=$E18,Q18=$F18),2,IF(SIGN(P18-Q18)=SIGN($E18-$F18),1,0))))</f>
      </c>
      <c r="S18" s="5">
        <v>1</v>
      </c>
      <c r="T18" s="5">
        <v>1</v>
      </c>
      <c r="U18" s="3">
        <f>IF(OR($E18="",$F18=""),"",IF(OR(S18="",T18=""),"",IF(AND(S18=$E18,T18=$F18),2,IF(SIGN(S18-T18)=SIGN($E18-$F18),1,0))))</f>
      </c>
      <c r="V18" s="5">
        <v>1</v>
      </c>
      <c r="W18" s="5">
        <v>0</v>
      </c>
      <c r="X18" s="3">
        <f>IF(OR($E18="",$F18=""),"",IF(OR(V18="",W18=""),"",IF(AND(V18=$E18,W18=$F18),2,IF(SIGN(V18-W18)=SIGN($E18-$F18),1,0))))</f>
      </c>
    </row>
    <row r="19" spans="1:24" x14ac:dyDescent="0.25">
      <c r="A19" s="11"/>
      <c r="B19" s="11"/>
      <c r="C19" s="11"/>
      <c r="D19" s="12" t="s">
        <v>97</v>
      </c>
      <c r="E19" s="11"/>
      <c r="F19" s="11"/>
      <c r="G19" s="11"/>
      <c r="H19" s="11"/>
      <c r="I19" s="6">
        <f>SUM(I3:I18)</f>
      </c>
      <c r="J19" s="11"/>
      <c r="K19" s="11"/>
      <c r="L19" s="6">
        <f>SUM(L3:L18)</f>
      </c>
      <c r="M19" s="11"/>
      <c r="N19" s="11"/>
      <c r="O19" s="6">
        <f>SUM(O3:O18)</f>
      </c>
      <c r="P19" s="11"/>
      <c r="Q19" s="11"/>
      <c r="R19" s="6">
        <f>SUM(R3:R18)</f>
      </c>
      <c r="S19" s="11"/>
      <c r="T19" s="11"/>
      <c r="U19" s="6">
        <f>SUM(U3:U18)</f>
      </c>
      <c r="V19" s="11"/>
      <c r="W19" s="11"/>
      <c r="X19" s="6">
        <f>SUM(X3:X18)</f>
      </c>
    </row>
  </sheetData>
  <mergeCells count="8">
    <mergeCell ref="A1:D1"/>
    <mergeCell ref="E1:F1"/>
    <mergeCell ref="G1:I1"/>
    <mergeCell ref="J1:L1"/>
    <mergeCell ref="M1:O1"/>
    <mergeCell ref="P1:R1"/>
    <mergeCell ref="S1:U1"/>
    <mergeCell ref="V1:X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"/>
  <sheetViews>
    <sheetView workbookViewId="0" showGridLines="0">
      <pane xSplit="6" ySplit="2" topLeftCell="G3" activePane="bottomRight" state="frozen"/>
      <selection pane="bottomRight"/>
    </sheetView>
  </sheetViews>
  <sheetFormatPr defaultRowHeight="15" outlineLevelRow="0" outlineLevelCol="0" x14ac:dyDescent="55"/>
  <cols>
    <col min="1" max="1" width="4" customWidth="1"/>
    <col min="2" max="2" width="6" customWidth="1"/>
    <col min="3" max="4" width="16" customWidth="1"/>
    <col min="5" max="24" width="5" customWidth="1"/>
  </cols>
  <sheetData>
    <row r="1" spans="1:24" x14ac:dyDescent="0.25">
      <c r="A1" s="8" t="s">
        <v>28</v>
      </c>
      <c r="B1" s="8"/>
      <c r="C1" s="8"/>
      <c r="D1" s="8"/>
      <c r="E1" s="8" t="s">
        <v>29</v>
      </c>
      <c r="F1" s="8"/>
      <c r="G1" s="8" t="s">
        <v>15</v>
      </c>
      <c r="H1" s="8"/>
      <c r="I1" s="8"/>
      <c r="J1" s="8" t="s">
        <v>16</v>
      </c>
      <c r="K1" s="8"/>
      <c r="L1" s="8"/>
      <c r="M1" s="8" t="s">
        <v>17</v>
      </c>
      <c r="N1" s="8"/>
      <c r="O1" s="8"/>
      <c r="P1" s="8" t="s">
        <v>18</v>
      </c>
      <c r="Q1" s="8"/>
      <c r="R1" s="8"/>
      <c r="S1" s="8" t="s">
        <v>19</v>
      </c>
      <c r="T1" s="8"/>
      <c r="U1" s="8"/>
      <c r="V1" s="8" t="s">
        <v>20</v>
      </c>
      <c r="W1" s="8"/>
      <c r="X1" s="8"/>
    </row>
    <row r="2" spans="1:24" x14ac:dyDescent="0.25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34</v>
      </c>
      <c r="H2" s="2" t="s">
        <v>35</v>
      </c>
      <c r="I2" s="2" t="s">
        <v>36</v>
      </c>
      <c r="J2" s="2" t="s">
        <v>34</v>
      </c>
      <c r="K2" s="2" t="s">
        <v>35</v>
      </c>
      <c r="L2" s="2" t="s">
        <v>36</v>
      </c>
      <c r="M2" s="2" t="s">
        <v>34</v>
      </c>
      <c r="N2" s="2" t="s">
        <v>35</v>
      </c>
      <c r="O2" s="2" t="s">
        <v>36</v>
      </c>
      <c r="P2" s="2" t="s">
        <v>34</v>
      </c>
      <c r="Q2" s="2" t="s">
        <v>35</v>
      </c>
      <c r="R2" s="2" t="s">
        <v>36</v>
      </c>
      <c r="S2" s="2" t="s">
        <v>34</v>
      </c>
      <c r="T2" s="2" t="s">
        <v>35</v>
      </c>
      <c r="U2" s="2" t="s">
        <v>36</v>
      </c>
      <c r="V2" s="2" t="s">
        <v>34</v>
      </c>
      <c r="W2" s="2" t="s">
        <v>35</v>
      </c>
      <c r="X2" s="2" t="s">
        <v>36</v>
      </c>
    </row>
    <row r="3" spans="1:24" x14ac:dyDescent="0.25">
      <c r="A3" s="5">
        <v>89</v>
      </c>
      <c r="B3" s="5" t="s">
        <v>98</v>
      </c>
      <c r="C3" s="9" t="s">
        <v>43</v>
      </c>
      <c r="D3" s="9" t="s">
        <v>49</v>
      </c>
      <c r="E3" s="10">
        <v>0</v>
      </c>
      <c r="F3" s="10">
        <v>3</v>
      </c>
      <c r="G3" s="5">
        <v>0</v>
      </c>
      <c r="H3" s="5">
        <v>2</v>
      </c>
      <c r="I3" s="3">
        <f>IF(OR($E3="",$F3=""),"",IF(OR(G3="",H3=""),"",IF(AND(G3=$E3,H3=$F3),2,IF(SIGN(G3-H3)=SIGN($E3-$F3),1,0))))</f>
      </c>
      <c r="J3" s="5">
        <v>0</v>
      </c>
      <c r="K3" s="5">
        <v>1</v>
      </c>
      <c r="L3" s="3">
        <f>IF(OR($E3="",$F3=""),"",IF(OR(J3="",K3=""),"",IF(AND(J3=$E3,K3=$F3),2,IF(SIGN(J3-K3)=SIGN($E3-$F3),1,0))))</f>
      </c>
      <c r="M3" s="5">
        <v>0</v>
      </c>
      <c r="N3" s="5">
        <v>1</v>
      </c>
      <c r="O3" s="3">
        <f>IF(OR($E3="",$F3=""),"",IF(OR(M3="",N3=""),"",IF(AND(M3=$E3,N3=$F3),2,IF(SIGN(M3-N3)=SIGN($E3-$F3),1,0))))</f>
      </c>
      <c r="P3" s="5">
        <v>0</v>
      </c>
      <c r="Q3" s="5">
        <v>1</v>
      </c>
      <c r="R3" s="3">
        <f>IF(OR($E3="",$F3=""),"",IF(OR(P3="",Q3=""),"",IF(AND(P3=$E3,Q3=$F3),2,IF(SIGN(P3-Q3)=SIGN($E3-$F3),1,0))))</f>
      </c>
      <c r="S3" s="5">
        <v>1</v>
      </c>
      <c r="T3" s="5">
        <v>2</v>
      </c>
      <c r="U3" s="3">
        <f>IF(OR($E3="",$F3=""),"",IF(OR(S3="",T3=""),"",IF(AND(S3=$E3,T3=$F3),2,IF(SIGN(S3-T3)=SIGN($E3-$F3),1,0))))</f>
      </c>
      <c r="V3" s="5"/>
      <c r="W3" s="5"/>
      <c r="X3" s="3">
        <f>IF(OR($E3="",$F3=""),"",IF(OR(V3="",W3=""),"",IF(AND(V3=$E3,W3=$F3),2,IF(SIGN(V3-W3)=SIGN($E3-$F3),1,0))))</f>
      </c>
    </row>
    <row r="4" spans="1:24" x14ac:dyDescent="0.25">
      <c r="A4" s="5">
        <v>90</v>
      </c>
      <c r="B4" s="5" t="s">
        <v>98</v>
      </c>
      <c r="C4" s="9" t="s">
        <v>54</v>
      </c>
      <c r="D4" s="9" t="s">
        <v>78</v>
      </c>
      <c r="E4" s="10">
        <v>0</v>
      </c>
      <c r="F4" s="10">
        <v>1</v>
      </c>
      <c r="G4" s="5">
        <v>0</v>
      </c>
      <c r="H4" s="5">
        <v>2</v>
      </c>
      <c r="I4" s="3">
        <f>IF(OR($E4="",$F4=""),"",IF(OR(G4="",H4=""),"",IF(AND(G4=$E4,H4=$F4),2,IF(SIGN(G4-H4)=SIGN($E4-$F4),1,0))))</f>
      </c>
      <c r="J4" s="5">
        <v>1</v>
      </c>
      <c r="K4" s="5">
        <v>2</v>
      </c>
      <c r="L4" s="3">
        <f>IF(OR($E4="",$F4=""),"",IF(OR(J4="",K4=""),"",IF(AND(J4=$E4,K4=$F4),2,IF(SIGN(J4-K4)=SIGN($E4-$F4),1,0))))</f>
      </c>
      <c r="M4" s="5">
        <v>1</v>
      </c>
      <c r="N4" s="5">
        <v>3</v>
      </c>
      <c r="O4" s="3">
        <f>IF(OR($E4="",$F4=""),"",IF(OR(M4="",N4=""),"",IF(AND(M4=$E4,N4=$F4),2,IF(SIGN(M4-N4)=SIGN($E4-$F4),1,0))))</f>
      </c>
      <c r="P4" s="5">
        <v>2</v>
      </c>
      <c r="Q4" s="5">
        <v>3</v>
      </c>
      <c r="R4" s="3">
        <f>IF(OR($E4="",$F4=""),"",IF(OR(P4="",Q4=""),"",IF(AND(P4=$E4,Q4=$F4),2,IF(SIGN(P4-Q4)=SIGN($E4-$F4),1,0))))</f>
      </c>
      <c r="S4" s="5">
        <v>0</v>
      </c>
      <c r="T4" s="5">
        <v>3</v>
      </c>
      <c r="U4" s="3">
        <f>IF(OR($E4="",$F4=""),"",IF(OR(S4="",T4=""),"",IF(AND(S4=$E4,T4=$F4),2,IF(SIGN(S4-T4)=SIGN($E4-$F4),1,0))))</f>
      </c>
      <c r="V4" s="5">
        <v>0</v>
      </c>
      <c r="W4" s="5">
        <v>3</v>
      </c>
      <c r="X4" s="3">
        <f>IF(OR($E4="",$F4=""),"",IF(OR(V4="",W4=""),"",IF(AND(V4=$E4,W4=$F4),2,IF(SIGN(V4-W4)=SIGN($E4-$F4),1,0))))</f>
      </c>
    </row>
    <row r="5" spans="1:24" x14ac:dyDescent="0.25">
      <c r="A5" s="5">
        <v>91</v>
      </c>
      <c r="B5" s="5" t="s">
        <v>98</v>
      </c>
      <c r="C5" s="9" t="s">
        <v>48</v>
      </c>
      <c r="D5" s="9" t="s">
        <v>81</v>
      </c>
      <c r="E5" s="10">
        <v>1</v>
      </c>
      <c r="F5" s="10">
        <v>2</v>
      </c>
      <c r="G5" s="5">
        <v>2</v>
      </c>
      <c r="H5" s="5">
        <v>1</v>
      </c>
      <c r="I5" s="3">
        <f>IF(OR($E5="",$F5=""),"",IF(OR(G5="",H5=""),"",IF(AND(G5=$E5,H5=$F5),2,IF(SIGN(G5-H5)=SIGN($E5-$F5),1,0))))</f>
      </c>
      <c r="J5" s="5">
        <v>2</v>
      </c>
      <c r="K5" s="5">
        <v>1</v>
      </c>
      <c r="L5" s="3">
        <f>IF(OR($E5="",$F5=""),"",IF(OR(J5="",K5=""),"",IF(AND(J5=$E5,K5=$F5),2,IF(SIGN(J5-K5)=SIGN($E5-$F5),1,0))))</f>
      </c>
      <c r="M5" s="5">
        <v>2</v>
      </c>
      <c r="N5" s="5">
        <v>1</v>
      </c>
      <c r="O5" s="3">
        <f>IF(OR($E5="",$F5=""),"",IF(OR(M5="",N5=""),"",IF(AND(M5=$E5,N5=$F5),2,IF(SIGN(M5-N5)=SIGN($E5-$F5),1,0))))</f>
      </c>
      <c r="P5" s="5">
        <v>1</v>
      </c>
      <c r="Q5" s="5">
        <v>2</v>
      </c>
      <c r="R5" s="3">
        <f>IF(OR($E5="",$F5=""),"",IF(OR(P5="",Q5=""),"",IF(AND(P5=$E5,Q5=$F5),2,IF(SIGN(P5-Q5)=SIGN($E5-$F5),1,0))))</f>
      </c>
      <c r="S5" s="5">
        <v>2</v>
      </c>
      <c r="T5" s="5">
        <v>1</v>
      </c>
      <c r="U5" s="3">
        <f>IF(OR($E5="",$F5=""),"",IF(OR(S5="",T5=""),"",IF(AND(S5=$E5,T5=$F5),2,IF(SIGN(S5-T5)=SIGN($E5-$F5),1,0))))</f>
      </c>
      <c r="V5" s="5">
        <v>2</v>
      </c>
      <c r="W5" s="5">
        <v>1</v>
      </c>
      <c r="X5" s="3">
        <f>IF(OR($E5="",$F5=""),"",IF(OR(V5="",W5=""),"",IF(AND(V5=$E5,W5=$F5),2,IF(SIGN(V5-W5)=SIGN($E5-$F5),1,0))))</f>
      </c>
    </row>
    <row r="6" spans="1:24" x14ac:dyDescent="0.25">
      <c r="A6" s="5">
        <v>92</v>
      </c>
      <c r="B6" s="5" t="s">
        <v>98</v>
      </c>
      <c r="C6" s="9" t="s">
        <v>38</v>
      </c>
      <c r="D6" s="9" t="s">
        <v>93</v>
      </c>
      <c r="E6" s="10">
        <v>2</v>
      </c>
      <c r="F6" s="10">
        <v>3</v>
      </c>
      <c r="G6" s="5">
        <v>2</v>
      </c>
      <c r="H6" s="5">
        <v>3</v>
      </c>
      <c r="I6" s="3">
        <f>IF(OR($E6="",$F6=""),"",IF(OR(G6="",H6=""),"",IF(AND(G6=$E6,H6=$F6),2,IF(SIGN(G6-H6)=SIGN($E6-$F6),1,0))))</f>
      </c>
      <c r="J6" s="5">
        <v>0</v>
      </c>
      <c r="K6" s="5">
        <v>2</v>
      </c>
      <c r="L6" s="3">
        <f>IF(OR($E6="",$F6=""),"",IF(OR(J6="",K6=""),"",IF(AND(J6=$E6,K6=$F6),2,IF(SIGN(J6-K6)=SIGN($E6-$F6),1,0))))</f>
      </c>
      <c r="M6" s="5">
        <v>1</v>
      </c>
      <c r="N6" s="5">
        <v>2</v>
      </c>
      <c r="O6" s="3">
        <f>IF(OR($E6="",$F6=""),"",IF(OR(M6="",N6=""),"",IF(AND(M6=$E6,N6=$F6),2,IF(SIGN(M6-N6)=SIGN($E6-$F6),1,0))))</f>
      </c>
      <c r="P6" s="5">
        <v>1</v>
      </c>
      <c r="Q6" s="5">
        <v>2</v>
      </c>
      <c r="R6" s="3">
        <f>IF(OR($E6="",$F6=""),"",IF(OR(P6="",Q6=""),"",IF(AND(P6=$E6,Q6=$F6),2,IF(SIGN(P6-Q6)=SIGN($E6-$F6),1,0))))</f>
      </c>
      <c r="S6" s="5">
        <v>2</v>
      </c>
      <c r="T6" s="5">
        <v>3</v>
      </c>
      <c r="U6" s="3">
        <f>IF(OR($E6="",$F6=""),"",IF(OR(S6="",T6=""),"",IF(AND(S6=$E6,T6=$F6),2,IF(SIGN(S6-T6)=SIGN($E6-$F6),1,0))))</f>
      </c>
      <c r="V6" s="5">
        <v>1</v>
      </c>
      <c r="W6" s="5">
        <v>1</v>
      </c>
      <c r="X6" s="3">
        <f>IF(OR($E6="",$F6=""),"",IF(OR(V6="",W6=""),"",IF(AND(V6=$E6,W6=$F6),2,IF(SIGN(V6-W6)=SIGN($E6-$F6),1,0))))</f>
      </c>
    </row>
    <row r="7" spans="1:24" x14ac:dyDescent="0.25">
      <c r="A7" s="5">
        <v>93</v>
      </c>
      <c r="B7" s="5" t="s">
        <v>98</v>
      </c>
      <c r="C7" s="9" t="s">
        <v>88</v>
      </c>
      <c r="D7" s="9" t="s">
        <v>73</v>
      </c>
      <c r="E7" s="10">
        <v>0</v>
      </c>
      <c r="F7" s="10">
        <v>1</v>
      </c>
      <c r="G7" s="5">
        <v>1</v>
      </c>
      <c r="H7" s="5">
        <v>2</v>
      </c>
      <c r="I7" s="3">
        <f>IF(OR($E7="",$F7=""),"",IF(OR(G7="",H7=""),"",IF(AND(G7=$E7,H7=$F7),2,IF(SIGN(G7-H7)=SIGN($E7-$F7),1,0))))</f>
      </c>
      <c r="J7" s="5">
        <v>1</v>
      </c>
      <c r="K7" s="5">
        <v>2</v>
      </c>
      <c r="L7" s="3">
        <f>IF(OR($E7="",$F7=""),"",IF(OR(J7="",K7=""),"",IF(AND(J7=$E7,K7=$F7),2,IF(SIGN(J7-K7)=SIGN($E7-$F7),1,0))))</f>
      </c>
      <c r="M7" s="5">
        <v>1</v>
      </c>
      <c r="N7" s="5">
        <v>2</v>
      </c>
      <c r="O7" s="3">
        <f>IF(OR($E7="",$F7=""),"",IF(OR(M7="",N7=""),"",IF(AND(M7=$E7,N7=$F7),2,IF(SIGN(M7-N7)=SIGN($E7-$F7),1,0))))</f>
      </c>
      <c r="P7" s="5">
        <v>1</v>
      </c>
      <c r="Q7" s="5">
        <v>2</v>
      </c>
      <c r="R7" s="3">
        <f>IF(OR($E7="",$F7=""),"",IF(OR(P7="",Q7=""),"",IF(AND(P7=$E7,Q7=$F7),2,IF(SIGN(P7-Q7)=SIGN($E7-$F7),1,0))))</f>
      </c>
      <c r="S7" s="5">
        <v>2</v>
      </c>
      <c r="T7" s="5">
        <v>2</v>
      </c>
      <c r="U7" s="3">
        <f>IF(OR($E7="",$F7=""),"",IF(OR(S7="",T7=""),"",IF(AND(S7=$E7,T7=$F7),2,IF(SIGN(S7-T7)=SIGN($E7-$F7),1,0))))</f>
      </c>
      <c r="V7" s="5">
        <v>1</v>
      </c>
      <c r="W7" s="5">
        <v>2</v>
      </c>
      <c r="X7" s="3">
        <f>IF(OR($E7="",$F7=""),"",IF(OR(V7="",W7=""),"",IF(AND(V7=$E7,W7=$F7),2,IF(SIGN(V7-W7)=SIGN($E7-$F7),1,0))))</f>
      </c>
    </row>
    <row r="8" spans="1:24" x14ac:dyDescent="0.25">
      <c r="A8" s="5">
        <v>94</v>
      </c>
      <c r="B8" s="5" t="s">
        <v>98</v>
      </c>
      <c r="C8" s="9" t="s">
        <v>53</v>
      </c>
      <c r="D8" s="9" t="s">
        <v>68</v>
      </c>
      <c r="E8" s="10">
        <v>1</v>
      </c>
      <c r="F8" s="10">
        <v>4</v>
      </c>
      <c r="G8" s="5">
        <v>1</v>
      </c>
      <c r="H8" s="5">
        <v>1</v>
      </c>
      <c r="I8" s="3">
        <f>IF(OR($E8="",$F8=""),"",IF(OR(G8="",H8=""),"",IF(AND(G8=$E8,H8=$F8),2,IF(SIGN(G8-H8)=SIGN($E8-$F8),1,0))))</f>
      </c>
      <c r="J8" s="5">
        <v>1</v>
      </c>
      <c r="K8" s="5">
        <v>2</v>
      </c>
      <c r="L8" s="3">
        <f>IF(OR($E8="",$F8=""),"",IF(OR(J8="",K8=""),"",IF(AND(J8=$E8,K8=$F8),2,IF(SIGN(J8-K8)=SIGN($E8-$F8),1,0))))</f>
      </c>
      <c r="M8" s="5">
        <v>1</v>
      </c>
      <c r="N8" s="5">
        <v>2</v>
      </c>
      <c r="O8" s="3">
        <f>IF(OR($E8="",$F8=""),"",IF(OR(M8="",N8=""),"",IF(AND(M8=$E8,N8=$F8),2,IF(SIGN(M8-N8)=SIGN($E8-$F8),1,0))))</f>
      </c>
      <c r="P8" s="5">
        <v>2</v>
      </c>
      <c r="Q8" s="5">
        <v>1</v>
      </c>
      <c r="R8" s="3">
        <f>IF(OR($E8="",$F8=""),"",IF(OR(P8="",Q8=""),"",IF(AND(P8=$E8,Q8=$F8),2,IF(SIGN(P8-Q8)=SIGN($E8-$F8),1,0))))</f>
      </c>
      <c r="S8" s="5">
        <v>3</v>
      </c>
      <c r="T8" s="5">
        <v>1</v>
      </c>
      <c r="U8" s="3">
        <f>IF(OR($E8="",$F8=""),"",IF(OR(S8="",T8=""),"",IF(AND(S8=$E8,T8=$F8),2,IF(SIGN(S8-T8)=SIGN($E8-$F8),1,0))))</f>
      </c>
      <c r="V8" s="5">
        <v>1</v>
      </c>
      <c r="W8" s="5">
        <v>1</v>
      </c>
      <c r="X8" s="3">
        <f>IF(OR($E8="",$F8=""),"",IF(OR(V8="",W8=""),"",IF(AND(V8=$E8,W8=$F8),2,IF(SIGN(V8-W8)=SIGN($E8-$F8),1,0))))</f>
      </c>
    </row>
    <row r="9" spans="1:24" x14ac:dyDescent="0.25">
      <c r="A9" s="5">
        <v>95</v>
      </c>
      <c r="B9" s="5" t="s">
        <v>98</v>
      </c>
      <c r="C9" s="9" t="s">
        <v>83</v>
      </c>
      <c r="D9" s="9" t="s">
        <v>69</v>
      </c>
      <c r="E9" s="10">
        <v>3</v>
      </c>
      <c r="F9" s="10">
        <v>2</v>
      </c>
      <c r="G9" s="5">
        <v>2</v>
      </c>
      <c r="H9" s="5">
        <v>1</v>
      </c>
      <c r="I9" s="3">
        <f>IF(OR($E9="",$F9=""),"",IF(OR(G9="",H9=""),"",IF(AND(G9=$E9,H9=$F9),2,IF(SIGN(G9-H9)=SIGN($E9-$F9),1,0))))</f>
      </c>
      <c r="J9" s="5">
        <v>2</v>
      </c>
      <c r="K9" s="5">
        <v>0</v>
      </c>
      <c r="L9" s="3">
        <f>IF(OR($E9="",$F9=""),"",IF(OR(J9="",K9=""),"",IF(AND(J9=$E9,K9=$F9),2,IF(SIGN(J9-K9)=SIGN($E9-$F9),1,0))))</f>
      </c>
      <c r="M9" s="5">
        <v>2</v>
      </c>
      <c r="N9" s="5">
        <v>0</v>
      </c>
      <c r="O9" s="3">
        <f>IF(OR($E9="",$F9=""),"",IF(OR(M9="",N9=""),"",IF(AND(M9=$E9,N9=$F9),2,IF(SIGN(M9-N9)=SIGN($E9-$F9),1,0))))</f>
      </c>
      <c r="P9" s="5">
        <v>2</v>
      </c>
      <c r="Q9" s="5">
        <v>1</v>
      </c>
      <c r="R9" s="3">
        <f>IF(OR($E9="",$F9=""),"",IF(OR(P9="",Q9=""),"",IF(AND(P9=$E9,Q9=$F9),2,IF(SIGN(P9-Q9)=SIGN($E9-$F9),1,0))))</f>
      </c>
      <c r="S9" s="5">
        <v>3</v>
      </c>
      <c r="T9" s="5">
        <v>1</v>
      </c>
      <c r="U9" s="3">
        <f>IF(OR($E9="",$F9=""),"",IF(OR(S9="",T9=""),"",IF(AND(S9=$E9,T9=$F9),2,IF(SIGN(S9-T9)=SIGN($E9-$F9),1,0))))</f>
      </c>
      <c r="V9" s="5">
        <v>2</v>
      </c>
      <c r="W9" s="5">
        <v>0</v>
      </c>
      <c r="X9" s="3">
        <f>IF(OR($E9="",$F9=""),"",IF(OR(V9="",W9=""),"",IF(AND(V9=$E9,W9=$F9),2,IF(SIGN(V9-W9)=SIGN($E9-$F9),1,0))))</f>
      </c>
    </row>
    <row r="10" spans="1:24" x14ac:dyDescent="0.25">
      <c r="A10" s="5">
        <v>96</v>
      </c>
      <c r="B10" s="5" t="s">
        <v>98</v>
      </c>
      <c r="C10" s="9" t="s">
        <v>46</v>
      </c>
      <c r="D10" s="9" t="s">
        <v>91</v>
      </c>
      <c r="E10" s="10">
        <v>0</v>
      </c>
      <c r="F10" s="10">
        <v>0</v>
      </c>
      <c r="G10" s="5">
        <v>1</v>
      </c>
      <c r="H10" s="5">
        <v>1</v>
      </c>
      <c r="I10" s="3">
        <f>IF(OR($E10="",$F10=""),"",IF(OR(G10="",H10=""),"",IF(AND(G10=$E10,H10=$F10),2,IF(SIGN(G10-H10)=SIGN($E10-$F10),1,0))))</f>
      </c>
      <c r="J10" s="5">
        <v>1</v>
      </c>
      <c r="K10" s="5">
        <v>0</v>
      </c>
      <c r="L10" s="3">
        <f>IF(OR($E10="",$F10=""),"",IF(OR(J10="",K10=""),"",IF(AND(J10=$E10,K10=$F10),2,IF(SIGN(J10-K10)=SIGN($E10-$F10),1,0))))</f>
      </c>
      <c r="M10" s="5">
        <v>1</v>
      </c>
      <c r="N10" s="5">
        <v>2</v>
      </c>
      <c r="O10" s="3">
        <f>IF(OR($E10="",$F10=""),"",IF(OR(M10="",N10=""),"",IF(AND(M10=$E10,N10=$F10),2,IF(SIGN(M10-N10)=SIGN($E10-$F10),1,0))))</f>
      </c>
      <c r="P10" s="5">
        <v>0</v>
      </c>
      <c r="Q10" s="5">
        <v>1</v>
      </c>
      <c r="R10" s="3">
        <f>IF(OR($E10="",$F10=""),"",IF(OR(P10="",Q10=""),"",IF(AND(P10=$E10,Q10=$F10),2,IF(SIGN(P10-Q10)=SIGN($E10-$F10),1,0))))</f>
      </c>
      <c r="S10" s="5">
        <v>1</v>
      </c>
      <c r="T10" s="5">
        <v>2</v>
      </c>
      <c r="U10" s="3">
        <f>IF(OR($E10="",$F10=""),"",IF(OR(S10="",T10=""),"",IF(AND(S10=$E10,T10=$F10),2,IF(SIGN(S10-T10)=SIGN($E10-$F10),1,0))))</f>
      </c>
      <c r="V10" s="5">
        <v>0</v>
      </c>
      <c r="W10" s="5">
        <v>1</v>
      </c>
      <c r="X10" s="3">
        <f>IF(OR($E10="",$F10=""),"",IF(OR(V10="",W10=""),"",IF(AND(V10=$E10,W10=$F10),2,IF(SIGN(V10-W10)=SIGN($E10-$F10),1,0))))</f>
      </c>
    </row>
    <row r="11" spans="1:24" x14ac:dyDescent="0.25">
      <c r="A11" s="11"/>
      <c r="B11" s="11"/>
      <c r="C11" s="11"/>
      <c r="D11" s="12" t="s">
        <v>97</v>
      </c>
      <c r="E11" s="11"/>
      <c r="F11" s="11"/>
      <c r="G11" s="11"/>
      <c r="H11" s="11"/>
      <c r="I11" s="6">
        <f>SUM(I3:I10)</f>
      </c>
      <c r="J11" s="11"/>
      <c r="K11" s="11"/>
      <c r="L11" s="6">
        <f>SUM(L3:L10)</f>
      </c>
      <c r="M11" s="11"/>
      <c r="N11" s="11"/>
      <c r="O11" s="6">
        <f>SUM(O3:O10)</f>
      </c>
      <c r="P11" s="11"/>
      <c r="Q11" s="11"/>
      <c r="R11" s="6">
        <f>SUM(R3:R10)</f>
      </c>
      <c r="S11" s="11"/>
      <c r="T11" s="11"/>
      <c r="U11" s="6">
        <f>SUM(U3:U10)</f>
      </c>
      <c r="V11" s="11"/>
      <c r="W11" s="11"/>
      <c r="X11" s="6">
        <f>SUM(X3:X10)</f>
      </c>
    </row>
  </sheetData>
  <mergeCells count="8">
    <mergeCell ref="A1:D1"/>
    <mergeCell ref="E1:F1"/>
    <mergeCell ref="G1:I1"/>
    <mergeCell ref="J1:L1"/>
    <mergeCell ref="M1:O1"/>
    <mergeCell ref="P1:R1"/>
    <mergeCell ref="S1:U1"/>
    <mergeCell ref="V1:X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Views>
    <sheetView workbookViewId="0" showGridLines="0">
      <pane xSplit="6" ySplit="2" topLeftCell="G3" activePane="bottomRight" state="frozen"/>
      <selection pane="bottomRight"/>
    </sheetView>
  </sheetViews>
  <sheetFormatPr defaultRowHeight="15" outlineLevelRow="0" outlineLevelCol="0" x14ac:dyDescent="55"/>
  <cols>
    <col min="1" max="1" width="4" customWidth="1"/>
    <col min="2" max="2" width="6" customWidth="1"/>
    <col min="3" max="4" width="16" customWidth="1"/>
    <col min="5" max="24" width="5" customWidth="1"/>
  </cols>
  <sheetData>
    <row r="1" spans="1:24" x14ac:dyDescent="0.25">
      <c r="A1" s="8" t="s">
        <v>28</v>
      </c>
      <c r="B1" s="8"/>
      <c r="C1" s="8"/>
      <c r="D1" s="8"/>
      <c r="E1" s="8" t="s">
        <v>29</v>
      </c>
      <c r="F1" s="8"/>
      <c r="G1" s="8" t="s">
        <v>15</v>
      </c>
      <c r="H1" s="8"/>
      <c r="I1" s="8"/>
      <c r="J1" s="8" t="s">
        <v>16</v>
      </c>
      <c r="K1" s="8"/>
      <c r="L1" s="8"/>
      <c r="M1" s="8" t="s">
        <v>17</v>
      </c>
      <c r="N1" s="8"/>
      <c r="O1" s="8"/>
      <c r="P1" s="8" t="s">
        <v>18</v>
      </c>
      <c r="Q1" s="8"/>
      <c r="R1" s="8"/>
      <c r="S1" s="8" t="s">
        <v>19</v>
      </c>
      <c r="T1" s="8"/>
      <c r="U1" s="8"/>
      <c r="V1" s="8" t="s">
        <v>20</v>
      </c>
      <c r="W1" s="8"/>
      <c r="X1" s="8"/>
    </row>
    <row r="2" spans="1:24" x14ac:dyDescent="0.25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34</v>
      </c>
      <c r="H2" s="2" t="s">
        <v>35</v>
      </c>
      <c r="I2" s="2" t="s">
        <v>36</v>
      </c>
      <c r="J2" s="2" t="s">
        <v>34</v>
      </c>
      <c r="K2" s="2" t="s">
        <v>35</v>
      </c>
      <c r="L2" s="2" t="s">
        <v>36</v>
      </c>
      <c r="M2" s="2" t="s">
        <v>34</v>
      </c>
      <c r="N2" s="2" t="s">
        <v>35</v>
      </c>
      <c r="O2" s="2" t="s">
        <v>36</v>
      </c>
      <c r="P2" s="2" t="s">
        <v>34</v>
      </c>
      <c r="Q2" s="2" t="s">
        <v>35</v>
      </c>
      <c r="R2" s="2" t="s">
        <v>36</v>
      </c>
      <c r="S2" s="2" t="s">
        <v>34</v>
      </c>
      <c r="T2" s="2" t="s">
        <v>35</v>
      </c>
      <c r="U2" s="2" t="s">
        <v>36</v>
      </c>
      <c r="V2" s="2" t="s">
        <v>34</v>
      </c>
      <c r="W2" s="2" t="s">
        <v>35</v>
      </c>
      <c r="X2" s="2" t="s">
        <v>36</v>
      </c>
    </row>
    <row r="3" spans="1:24" x14ac:dyDescent="0.25">
      <c r="A3" s="5">
        <v>97</v>
      </c>
      <c r="B3" s="5" t="s">
        <v>98</v>
      </c>
      <c r="C3" s="9" t="s">
        <v>78</v>
      </c>
      <c r="D3" s="9" t="s">
        <v>49</v>
      </c>
      <c r="E3" s="10">
        <v>2</v>
      </c>
      <c r="F3" s="10">
        <v>0</v>
      </c>
      <c r="G3" s="5">
        <v>1</v>
      </c>
      <c r="H3" s="5">
        <v>1</v>
      </c>
      <c r="I3" s="3">
        <f>IF(OR($E3="",$F3=""),"",IF(OR(G3="",H3=""),"",IF(AND(G3=$E3,H3=$F3),2,IF(SIGN(G3-H3)=SIGN($E3-$F3),1,0))))</f>
      </c>
      <c r="J3" s="5">
        <v>1</v>
      </c>
      <c r="K3" s="5">
        <v>0</v>
      </c>
      <c r="L3" s="3">
        <f>IF(OR($E3="",$F3=""),"",IF(OR(J3="",K3=""),"",IF(AND(J3=$E3,K3=$F3),2,IF(SIGN(J3-K3)=SIGN($E3-$F3),1,0))))</f>
      </c>
      <c r="M3" s="5">
        <v>1</v>
      </c>
      <c r="N3" s="5">
        <v>2</v>
      </c>
      <c r="O3" s="3">
        <f>IF(OR($E3="",$F3=""),"",IF(OR(M3="",N3=""),"",IF(AND(M3=$E3,N3=$F3),2,IF(SIGN(M3-N3)=SIGN($E3-$F3),1,0))))</f>
      </c>
      <c r="P3" s="5">
        <v>2</v>
      </c>
      <c r="Q3" s="5">
        <v>1</v>
      </c>
      <c r="R3" s="3">
        <f>IF(OR($E3="",$F3=""),"",IF(OR(P3="",Q3=""),"",IF(AND(P3=$E3,Q3=$F3),2,IF(SIGN(P3-Q3)=SIGN($E3-$F3),1,0))))</f>
      </c>
      <c r="S3" s="5">
        <v>2</v>
      </c>
      <c r="T3" s="5">
        <v>1</v>
      </c>
      <c r="U3" s="3">
        <f>IF(OR($E3="",$F3=""),"",IF(OR(S3="",T3=""),"",IF(AND(S3=$E3,T3=$F3),2,IF(SIGN(S3-T3)=SIGN($E3-$F3),1,0))))</f>
      </c>
      <c r="V3" s="5">
        <v>3</v>
      </c>
      <c r="W3" s="5">
        <v>0</v>
      </c>
      <c r="X3" s="3">
        <f>IF(OR($E3="",$F3=""),"",IF(OR(V3="",W3=""),"",IF(AND(V3=$E3,W3=$F3),2,IF(SIGN(V3-W3)=SIGN($E3-$F3),1,0))))</f>
      </c>
    </row>
    <row r="4" spans="1:24" x14ac:dyDescent="0.25">
      <c r="A4" s="5">
        <v>98</v>
      </c>
      <c r="B4" s="5" t="s">
        <v>98</v>
      </c>
      <c r="C4" s="9" t="s">
        <v>73</v>
      </c>
      <c r="D4" s="9" t="s">
        <v>68</v>
      </c>
      <c r="E4" s="10">
        <v>2</v>
      </c>
      <c r="F4" s="10">
        <v>1</v>
      </c>
      <c r="G4" s="5">
        <v>2</v>
      </c>
      <c r="H4" s="5">
        <v>1</v>
      </c>
      <c r="I4" s="3">
        <f>IF(OR($E4="",$F4=""),"",IF(OR(G4="",H4=""),"",IF(AND(G4=$E4,H4=$F4),2,IF(SIGN(G4-H4)=SIGN($E4-$F4),1,0))))</f>
      </c>
      <c r="J4" s="5">
        <v>2</v>
      </c>
      <c r="K4" s="5">
        <v>1</v>
      </c>
      <c r="L4" s="3">
        <f>IF(OR($E4="",$F4=""),"",IF(OR(J4="",K4=""),"",IF(AND(J4=$E4,K4=$F4),2,IF(SIGN(J4-K4)=SIGN($E4-$F4),1,0))))</f>
      </c>
      <c r="M4" s="5">
        <v>2</v>
      </c>
      <c r="N4" s="5">
        <v>1</v>
      </c>
      <c r="O4" s="3">
        <f>IF(OR($E4="",$F4=""),"",IF(OR(M4="",N4=""),"",IF(AND(M4=$E4,N4=$F4),2,IF(SIGN(M4-N4)=SIGN($E4-$F4),1,0))))</f>
      </c>
      <c r="P4" s="5">
        <v>1</v>
      </c>
      <c r="Q4" s="5">
        <v>0</v>
      </c>
      <c r="R4" s="3">
        <f>IF(OR($E4="",$F4=""),"",IF(OR(P4="",Q4=""),"",IF(AND(P4=$E4,Q4=$F4),2,IF(SIGN(P4-Q4)=SIGN($E4-$F4),1,0))))</f>
      </c>
      <c r="S4" s="5">
        <v>2</v>
      </c>
      <c r="T4" s="5">
        <v>1</v>
      </c>
      <c r="U4" s="3">
        <f>IF(OR($E4="",$F4=""),"",IF(OR(S4="",T4=""),"",IF(AND(S4=$E4,T4=$F4),2,IF(SIGN(S4-T4)=SIGN($E4-$F4),1,0))))</f>
      </c>
      <c r="V4" s="5">
        <v>2</v>
      </c>
      <c r="W4" s="5">
        <v>0</v>
      </c>
      <c r="X4" s="3">
        <f>IF(OR($E4="",$F4=""),"",IF(OR(V4="",W4=""),"",IF(AND(V4=$E4,W4=$F4),2,IF(SIGN(V4-W4)=SIGN($E4-$F4),1,0))))</f>
      </c>
    </row>
    <row r="5" spans="1:24" x14ac:dyDescent="0.25">
      <c r="A5" s="5">
        <v>99</v>
      </c>
      <c r="B5" s="5" t="s">
        <v>98</v>
      </c>
      <c r="C5" s="9" t="s">
        <v>81</v>
      </c>
      <c r="D5" s="9" t="s">
        <v>93</v>
      </c>
      <c r="E5" s="10">
        <v>1</v>
      </c>
      <c r="F5" s="10">
        <v>1</v>
      </c>
      <c r="G5" s="5">
        <v>1</v>
      </c>
      <c r="H5" s="5">
        <v>1</v>
      </c>
      <c r="I5" s="3">
        <f>IF(OR($E5="",$F5=""),"",IF(OR(G5="",H5=""),"",IF(AND(G5=$E5,H5=$F5),2,IF(SIGN(G5-H5)=SIGN($E5-$F5),1,0))))</f>
      </c>
      <c r="J5" s="5">
        <v>1</v>
      </c>
      <c r="K5" s="5">
        <v>2</v>
      </c>
      <c r="L5" s="3">
        <f>IF(OR($E5="",$F5=""),"",IF(OR(J5="",K5=""),"",IF(AND(J5=$E5,K5=$F5),2,IF(SIGN(J5-K5)=SIGN($E5-$F5),1,0))))</f>
      </c>
      <c r="M5" s="5">
        <v>2</v>
      </c>
      <c r="N5" s="5">
        <v>1</v>
      </c>
      <c r="O5" s="3">
        <f>IF(OR($E5="",$F5=""),"",IF(OR(M5="",N5=""),"",IF(AND(M5=$E5,N5=$F5),2,IF(SIGN(M5-N5)=SIGN($E5-$F5),1,0))))</f>
      </c>
      <c r="P5" s="5">
        <v>1</v>
      </c>
      <c r="Q5" s="5">
        <v>0</v>
      </c>
      <c r="R5" s="3">
        <f>IF(OR($E5="",$F5=""),"",IF(OR(P5="",Q5=""),"",IF(AND(P5=$E5,Q5=$F5),2,IF(SIGN(P5-Q5)=SIGN($E5-$F5),1,0))))</f>
      </c>
      <c r="S5" s="5">
        <v>1</v>
      </c>
      <c r="T5" s="5">
        <v>3</v>
      </c>
      <c r="U5" s="3">
        <f>IF(OR($E5="",$F5=""),"",IF(OR(S5="",T5=""),"",IF(AND(S5=$E5,T5=$F5),2,IF(SIGN(S5-T5)=SIGN($E5-$F5),1,0))))</f>
      </c>
      <c r="V5" s="5">
        <v>2</v>
      </c>
      <c r="W5" s="5">
        <v>1</v>
      </c>
      <c r="X5" s="3">
        <f>IF(OR($E5="",$F5=""),"",IF(OR(V5="",W5=""),"",IF(AND(V5=$E5,W5=$F5),2,IF(SIGN(V5-W5)=SIGN($E5-$F5),1,0))))</f>
      </c>
    </row>
    <row r="6" spans="1:24" x14ac:dyDescent="0.25">
      <c r="A6" s="5">
        <v>100</v>
      </c>
      <c r="B6" s="5" t="s">
        <v>98</v>
      </c>
      <c r="C6" s="9" t="s">
        <v>83</v>
      </c>
      <c r="D6" s="9" t="s">
        <v>46</v>
      </c>
      <c r="E6" s="10">
        <v>1</v>
      </c>
      <c r="F6" s="10">
        <v>1</v>
      </c>
      <c r="G6" s="5">
        <v>1</v>
      </c>
      <c r="H6" s="5">
        <v>0</v>
      </c>
      <c r="I6" s="3">
        <f>IF(OR($E6="",$F6=""),"",IF(OR(G6="",H6=""),"",IF(AND(G6=$E6,H6=$F6),2,IF(SIGN(G6-H6)=SIGN($E6-$F6),1,0))))</f>
      </c>
      <c r="J6" s="5">
        <v>2</v>
      </c>
      <c r="K6" s="5">
        <v>1</v>
      </c>
      <c r="L6" s="3">
        <f>IF(OR($E6="",$F6=""),"",IF(OR(J6="",K6=""),"",IF(AND(J6=$E6,K6=$F6),2,IF(SIGN(J6-K6)=SIGN($E6-$F6),1,0))))</f>
      </c>
      <c r="M6" s="5">
        <v>1</v>
      </c>
      <c r="N6" s="5">
        <v>1</v>
      </c>
      <c r="O6" s="3">
        <f>IF(OR($E6="",$F6=""),"",IF(OR(M6="",N6=""),"",IF(AND(M6=$E6,N6=$F6),2,IF(SIGN(M6-N6)=SIGN($E6-$F6),1,0))))</f>
      </c>
      <c r="P6" s="5">
        <v>3</v>
      </c>
      <c r="Q6" s="5">
        <v>1</v>
      </c>
      <c r="R6" s="3">
        <f>IF(OR($E6="",$F6=""),"",IF(OR(P6="",Q6=""),"",IF(AND(P6=$E6,Q6=$F6),2,IF(SIGN(P6-Q6)=SIGN($E6-$F6),1,0))))</f>
      </c>
      <c r="S6" s="5">
        <v>2</v>
      </c>
      <c r="T6" s="5">
        <v>1</v>
      </c>
      <c r="U6" s="3">
        <f>IF(OR($E6="",$F6=""),"",IF(OR(S6="",T6=""),"",IF(AND(S6=$E6,T6=$F6),2,IF(SIGN(S6-T6)=SIGN($E6-$F6),1,0))))</f>
      </c>
      <c r="V6" s="5">
        <v>2</v>
      </c>
      <c r="W6" s="5">
        <v>0</v>
      </c>
      <c r="X6" s="3">
        <f>IF(OR($E6="",$F6=""),"",IF(OR(V6="",W6=""),"",IF(AND(V6=$E6,W6=$F6),2,IF(SIGN(V6-W6)=SIGN($E6-$F6),1,0))))</f>
      </c>
    </row>
    <row r="7" spans="1:24" x14ac:dyDescent="0.25">
      <c r="A7" s="11"/>
      <c r="B7" s="11"/>
      <c r="C7" s="11"/>
      <c r="D7" s="12" t="s">
        <v>97</v>
      </c>
      <c r="E7" s="11"/>
      <c r="F7" s="11"/>
      <c r="G7" s="11"/>
      <c r="H7" s="11"/>
      <c r="I7" s="6">
        <f>SUM(I3:I6)</f>
      </c>
      <c r="J7" s="11"/>
      <c r="K7" s="11"/>
      <c r="L7" s="6">
        <f>SUM(L3:L6)</f>
      </c>
      <c r="M7" s="11"/>
      <c r="N7" s="11"/>
      <c r="O7" s="6">
        <f>SUM(O3:O6)</f>
      </c>
      <c r="P7" s="11"/>
      <c r="Q7" s="11"/>
      <c r="R7" s="6">
        <f>SUM(R3:R6)</f>
      </c>
      <c r="S7" s="11"/>
      <c r="T7" s="11"/>
      <c r="U7" s="6">
        <f>SUM(U3:U6)</f>
      </c>
      <c r="V7" s="11"/>
      <c r="W7" s="11"/>
      <c r="X7" s="6">
        <f>SUM(X3:X6)</f>
      </c>
    </row>
  </sheetData>
  <mergeCells count="8">
    <mergeCell ref="A1:D1"/>
    <mergeCell ref="E1:F1"/>
    <mergeCell ref="G1:I1"/>
    <mergeCell ref="J1:L1"/>
    <mergeCell ref="M1:O1"/>
    <mergeCell ref="P1:R1"/>
    <mergeCell ref="S1:U1"/>
    <mergeCell ref="V1:X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Views>
    <sheetView workbookViewId="0" showGridLines="0">
      <pane xSplit="6" ySplit="2" topLeftCell="G3" activePane="bottomRight" state="frozen"/>
      <selection pane="bottomRight"/>
    </sheetView>
  </sheetViews>
  <sheetFormatPr defaultRowHeight="15" outlineLevelRow="0" outlineLevelCol="0" x14ac:dyDescent="55"/>
  <cols>
    <col min="1" max="1" width="4" customWidth="1"/>
    <col min="2" max="2" width="6" customWidth="1"/>
    <col min="3" max="4" width="16" customWidth="1"/>
    <col min="5" max="24" width="5" customWidth="1"/>
  </cols>
  <sheetData>
    <row r="1" spans="1:24" x14ac:dyDescent="0.25">
      <c r="A1" s="8" t="s">
        <v>28</v>
      </c>
      <c r="B1" s="8"/>
      <c r="C1" s="8"/>
      <c r="D1" s="8"/>
      <c r="E1" s="8" t="s">
        <v>29</v>
      </c>
      <c r="F1" s="8"/>
      <c r="G1" s="8" t="s">
        <v>15</v>
      </c>
      <c r="H1" s="8"/>
      <c r="I1" s="8"/>
      <c r="J1" s="8" t="s">
        <v>16</v>
      </c>
      <c r="K1" s="8"/>
      <c r="L1" s="8"/>
      <c r="M1" s="8" t="s">
        <v>17</v>
      </c>
      <c r="N1" s="8"/>
      <c r="O1" s="8"/>
      <c r="P1" s="8" t="s">
        <v>18</v>
      </c>
      <c r="Q1" s="8"/>
      <c r="R1" s="8"/>
      <c r="S1" s="8" t="s">
        <v>19</v>
      </c>
      <c r="T1" s="8"/>
      <c r="U1" s="8"/>
      <c r="V1" s="8" t="s">
        <v>20</v>
      </c>
      <c r="W1" s="8"/>
      <c r="X1" s="8"/>
    </row>
    <row r="2" spans="1:24" x14ac:dyDescent="0.25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34</v>
      </c>
      <c r="H2" s="2" t="s">
        <v>35</v>
      </c>
      <c r="I2" s="2" t="s">
        <v>36</v>
      </c>
      <c r="J2" s="2" t="s">
        <v>34</v>
      </c>
      <c r="K2" s="2" t="s">
        <v>35</v>
      </c>
      <c r="L2" s="2" t="s">
        <v>36</v>
      </c>
      <c r="M2" s="2" t="s">
        <v>34</v>
      </c>
      <c r="N2" s="2" t="s">
        <v>35</v>
      </c>
      <c r="O2" s="2" t="s">
        <v>36</v>
      </c>
      <c r="P2" s="2" t="s">
        <v>34</v>
      </c>
      <c r="Q2" s="2" t="s">
        <v>35</v>
      </c>
      <c r="R2" s="2" t="s">
        <v>36</v>
      </c>
      <c r="S2" s="2" t="s">
        <v>34</v>
      </c>
      <c r="T2" s="2" t="s">
        <v>35</v>
      </c>
      <c r="U2" s="2" t="s">
        <v>36</v>
      </c>
      <c r="V2" s="2" t="s">
        <v>34</v>
      </c>
      <c r="W2" s="2" t="s">
        <v>35</v>
      </c>
      <c r="X2" s="2" t="s">
        <v>36</v>
      </c>
    </row>
    <row r="3" spans="1:24" x14ac:dyDescent="0.25">
      <c r="A3" s="5">
        <v>101</v>
      </c>
      <c r="B3" s="5" t="s">
        <v>98</v>
      </c>
      <c r="C3" s="9" t="s">
        <v>78</v>
      </c>
      <c r="D3" s="9" t="s">
        <v>73</v>
      </c>
      <c r="E3" s="10">
        <v>0</v>
      </c>
      <c r="F3" s="10">
        <v>2</v>
      </c>
      <c r="G3" s="5">
        <v>1</v>
      </c>
      <c r="H3" s="5">
        <v>2</v>
      </c>
      <c r="I3" s="3">
        <f>IF(OR($E3="",$F3=""),"",IF(OR(G3="",H3=""),"",IF(AND(G3=$E3,H3=$F3),2,IF(SIGN(G3-H3)=SIGN($E3-$F3),1,0))))</f>
      </c>
      <c r="J3" s="5">
        <v>1</v>
      </c>
      <c r="K3" s="5">
        <v>2</v>
      </c>
      <c r="L3" s="3">
        <f>IF(OR($E3="",$F3=""),"",IF(OR(J3="",K3=""),"",IF(AND(J3=$E3,K3=$F3),2,IF(SIGN(J3-K3)=SIGN($E3-$F3),1,0))))</f>
      </c>
      <c r="M3" s="5">
        <v>1</v>
      </c>
      <c r="N3" s="5">
        <v>1</v>
      </c>
      <c r="O3" s="3">
        <f>IF(OR($E3="",$F3=""),"",IF(OR(M3="",N3=""),"",IF(AND(M3=$E3,N3=$F3),2,IF(SIGN(M3-N3)=SIGN($E3-$F3),1,0))))</f>
      </c>
      <c r="P3" s="5">
        <v>0</v>
      </c>
      <c r="Q3" s="5">
        <v>1</v>
      </c>
      <c r="R3" s="3">
        <f>IF(OR($E3="",$F3=""),"",IF(OR(P3="",Q3=""),"",IF(AND(P3=$E3,Q3=$F3),2,IF(SIGN(P3-Q3)=SIGN($E3-$F3),1,0))))</f>
      </c>
      <c r="S3" s="5">
        <v>2</v>
      </c>
      <c r="T3" s="5">
        <v>1</v>
      </c>
      <c r="U3" s="3">
        <f>IF(OR($E3="",$F3=""),"",IF(OR(S3="",T3=""),"",IF(AND(S3=$E3,T3=$F3),2,IF(SIGN(S3-T3)=SIGN($E3-$F3),1,0))))</f>
      </c>
      <c r="V3" s="5">
        <v>2</v>
      </c>
      <c r="W3" s="5">
        <v>1</v>
      </c>
      <c r="X3" s="3">
        <f>IF(OR($E3="",$F3=""),"",IF(OR(V3="",W3=""),"",IF(AND(V3=$E3,W3=$F3),2,IF(SIGN(V3-W3)=SIGN($E3-$F3),1,0))))</f>
      </c>
    </row>
    <row r="4" spans="1:24" x14ac:dyDescent="0.25">
      <c r="A4" s="5">
        <v>102</v>
      </c>
      <c r="B4" s="5" t="s">
        <v>98</v>
      </c>
      <c r="C4" s="9" t="s">
        <v>93</v>
      </c>
      <c r="D4" s="9" t="s">
        <v>83</v>
      </c>
      <c r="E4" s="10">
        <v>1</v>
      </c>
      <c r="F4" s="10">
        <v>2</v>
      </c>
      <c r="G4" s="5">
        <v>2</v>
      </c>
      <c r="H4" s="5">
        <v>1</v>
      </c>
      <c r="I4" s="3">
        <f>IF(OR($E4="",$F4=""),"",IF(OR(G4="",H4=""),"",IF(AND(G4=$E4,H4=$F4),2,IF(SIGN(G4-H4)=SIGN($E4-$F4),1,0))))</f>
      </c>
      <c r="J4" s="5">
        <v>2</v>
      </c>
      <c r="K4" s="5">
        <v>1</v>
      </c>
      <c r="L4" s="3">
        <f>IF(OR($E4="",$F4=""),"",IF(OR(J4="",K4=""),"",IF(AND(J4=$E4,K4=$F4),2,IF(SIGN(J4-K4)=SIGN($E4-$F4),1,0))))</f>
      </c>
      <c r="M4" s="5">
        <v>1</v>
      </c>
      <c r="N4" s="5">
        <v>1</v>
      </c>
      <c r="O4" s="3">
        <f>IF(OR($E4="",$F4=""),"",IF(OR(M4="",N4=""),"",IF(AND(M4=$E4,N4=$F4),2,IF(SIGN(M4-N4)=SIGN($E4-$F4),1,0))))</f>
      </c>
      <c r="P4" s="5">
        <v>1</v>
      </c>
      <c r="Q4" s="5">
        <v>0</v>
      </c>
      <c r="R4" s="3">
        <f>IF(OR($E4="",$F4=""),"",IF(OR(P4="",Q4=""),"",IF(AND(P4=$E4,Q4=$F4),2,IF(SIGN(P4-Q4)=SIGN($E4-$F4),1,0))))</f>
      </c>
      <c r="S4" s="5">
        <v>3</v>
      </c>
      <c r="T4" s="5">
        <v>2</v>
      </c>
      <c r="U4" s="3">
        <f>IF(OR($E4="",$F4=""),"",IF(OR(S4="",T4=""),"",IF(AND(S4=$E4,T4=$F4),2,IF(SIGN(S4-T4)=SIGN($E4-$F4),1,0))))</f>
      </c>
      <c r="V4" s="5">
        <v>2</v>
      </c>
      <c r="W4" s="5">
        <v>1</v>
      </c>
      <c r="X4" s="3">
        <f>IF(OR($E4="",$F4=""),"",IF(OR(V4="",W4=""),"",IF(AND(V4=$E4,W4=$F4),2,IF(SIGN(V4-W4)=SIGN($E4-$F4),1,0))))</f>
      </c>
    </row>
    <row r="5" spans="1:24" x14ac:dyDescent="0.25">
      <c r="A5" s="11"/>
      <c r="B5" s="11"/>
      <c r="C5" s="11"/>
      <c r="D5" s="12" t="s">
        <v>97</v>
      </c>
      <c r="E5" s="11"/>
      <c r="F5" s="11"/>
      <c r="G5" s="11"/>
      <c r="H5" s="11"/>
      <c r="I5" s="6">
        <f>SUM(I3:I4)</f>
      </c>
      <c r="J5" s="11"/>
      <c r="K5" s="11"/>
      <c r="L5" s="6">
        <f>SUM(L3:L4)</f>
      </c>
      <c r="M5" s="11"/>
      <c r="N5" s="11"/>
      <c r="O5" s="6">
        <f>SUM(O3:O4)</f>
      </c>
      <c r="P5" s="11"/>
      <c r="Q5" s="11"/>
      <c r="R5" s="6">
        <f>SUM(R3:R4)</f>
      </c>
      <c r="S5" s="11"/>
      <c r="T5" s="11"/>
      <c r="U5" s="6">
        <f>SUM(U3:U4)</f>
      </c>
      <c r="V5" s="11"/>
      <c r="W5" s="11"/>
      <c r="X5" s="6">
        <f>SUM(X3:X4)</f>
      </c>
    </row>
  </sheetData>
  <mergeCells count="8">
    <mergeCell ref="A1:D1"/>
    <mergeCell ref="E1:F1"/>
    <mergeCell ref="G1:I1"/>
    <mergeCell ref="J1:L1"/>
    <mergeCell ref="M1:O1"/>
    <mergeCell ref="P1:R1"/>
    <mergeCell ref="S1:U1"/>
    <mergeCell ref="V1:X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workbookViewId="0" showGridLines="0">
      <pane xSplit="6" ySplit="2" topLeftCell="G3" activePane="bottomRight" state="frozen"/>
      <selection pane="bottomRight"/>
    </sheetView>
  </sheetViews>
  <sheetFormatPr defaultRowHeight="15" outlineLevelRow="0" outlineLevelCol="0" x14ac:dyDescent="55"/>
  <cols>
    <col min="1" max="1" width="4" customWidth="1"/>
    <col min="2" max="2" width="6" customWidth="1"/>
    <col min="3" max="4" width="16" customWidth="1"/>
    <col min="5" max="24" width="5" customWidth="1"/>
  </cols>
  <sheetData>
    <row r="1" spans="1:24" x14ac:dyDescent="0.25">
      <c r="A1" s="8" t="s">
        <v>28</v>
      </c>
      <c r="B1" s="8"/>
      <c r="C1" s="8"/>
      <c r="D1" s="8"/>
      <c r="E1" s="8" t="s">
        <v>29</v>
      </c>
      <c r="F1" s="8"/>
      <c r="G1" s="8" t="s">
        <v>15</v>
      </c>
      <c r="H1" s="8"/>
      <c r="I1" s="8"/>
      <c r="J1" s="8" t="s">
        <v>16</v>
      </c>
      <c r="K1" s="8"/>
      <c r="L1" s="8"/>
      <c r="M1" s="8" t="s">
        <v>17</v>
      </c>
      <c r="N1" s="8"/>
      <c r="O1" s="8"/>
      <c r="P1" s="8" t="s">
        <v>18</v>
      </c>
      <c r="Q1" s="8"/>
      <c r="R1" s="8"/>
      <c r="S1" s="8" t="s">
        <v>19</v>
      </c>
      <c r="T1" s="8"/>
      <c r="U1" s="8"/>
      <c r="V1" s="8" t="s">
        <v>20</v>
      </c>
      <c r="W1" s="8"/>
      <c r="X1" s="8"/>
    </row>
    <row r="2" spans="1:24" x14ac:dyDescent="0.25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34</v>
      </c>
      <c r="H2" s="2" t="s">
        <v>35</v>
      </c>
      <c r="I2" s="2" t="s">
        <v>36</v>
      </c>
      <c r="J2" s="2" t="s">
        <v>34</v>
      </c>
      <c r="K2" s="2" t="s">
        <v>35</v>
      </c>
      <c r="L2" s="2" t="s">
        <v>36</v>
      </c>
      <c r="M2" s="2" t="s">
        <v>34</v>
      </c>
      <c r="N2" s="2" t="s">
        <v>35</v>
      </c>
      <c r="O2" s="2" t="s">
        <v>36</v>
      </c>
      <c r="P2" s="2" t="s">
        <v>34</v>
      </c>
      <c r="Q2" s="2" t="s">
        <v>35</v>
      </c>
      <c r="R2" s="2" t="s">
        <v>36</v>
      </c>
      <c r="S2" s="2" t="s">
        <v>34</v>
      </c>
      <c r="T2" s="2" t="s">
        <v>35</v>
      </c>
      <c r="U2" s="2" t="s">
        <v>36</v>
      </c>
      <c r="V2" s="2" t="s">
        <v>34</v>
      </c>
      <c r="W2" s="2" t="s">
        <v>35</v>
      </c>
      <c r="X2" s="2" t="s">
        <v>36</v>
      </c>
    </row>
    <row r="3" spans="1:24" x14ac:dyDescent="0.25">
      <c r="A3" s="5">
        <v>103</v>
      </c>
      <c r="B3" s="5" t="s">
        <v>98</v>
      </c>
      <c r="C3" s="9" t="s">
        <v>73</v>
      </c>
      <c r="D3" s="9" t="s">
        <v>83</v>
      </c>
      <c r="E3" s="10">
        <v>0</v>
      </c>
      <c r="F3" s="10">
        <v>0</v>
      </c>
      <c r="G3" s="5">
        <v>3</v>
      </c>
      <c r="H3" s="5">
        <v>1</v>
      </c>
      <c r="I3" s="3">
        <f>IF(OR($E3="",$F3=""),"",IF(OR(G3="",H3=""),"",IF(AND(G3=$E3,H3=$F3),2,IF(SIGN(G3-H3)=SIGN($E3-$F3),1,0))))</f>
      </c>
      <c r="J3" s="5"/>
      <c r="K3" s="5"/>
      <c r="L3" s="3">
        <f>IF(OR($E3="",$F3=""),"",IF(OR(J3="",K3=""),"",IF(AND(J3=$E3,K3=$F3),2,IF(SIGN(J3-K3)=SIGN($E3-$F3),1,0))))</f>
      </c>
      <c r="M3" s="5">
        <v>3</v>
      </c>
      <c r="N3" s="5">
        <v>1</v>
      </c>
      <c r="O3" s="3">
        <f>IF(OR($E3="",$F3=""),"",IF(OR(M3="",N3=""),"",IF(AND(M3=$E3,N3=$F3),2,IF(SIGN(M3-N3)=SIGN($E3-$F3),1,0))))</f>
      </c>
      <c r="P3" s="5">
        <v>2</v>
      </c>
      <c r="Q3" s="5">
        <v>1</v>
      </c>
      <c r="R3" s="3">
        <f>IF(OR($E3="",$F3=""),"",IF(OR(P3="",Q3=""),"",IF(AND(P3=$E3,Q3=$F3),2,IF(SIGN(P3-Q3)=SIGN($E3-$F3),1,0))))</f>
      </c>
      <c r="S3" s="5">
        <v>3</v>
      </c>
      <c r="T3" s="5">
        <v>2</v>
      </c>
      <c r="U3" s="3">
        <f>IF(OR($E3="",$F3=""),"",IF(OR(S3="",T3=""),"",IF(AND(S3=$E3,T3=$F3),2,IF(SIGN(S3-T3)=SIGN($E3-$F3),1,0))))</f>
      </c>
      <c r="V3" s="5"/>
      <c r="W3" s="5"/>
      <c r="X3" s="3">
        <f>IF(OR($E3="",$F3=""),"",IF(OR(V3="",W3=""),"",IF(AND(V3=$E3,W3=$F3),2,IF(SIGN(V3-W3)=SIGN($E3-$F3),1,0))))</f>
      </c>
    </row>
    <row r="4" spans="1:24" x14ac:dyDescent="0.25">
      <c r="A4" s="11"/>
      <c r="B4" s="11"/>
      <c r="C4" s="11"/>
      <c r="D4" s="12" t="s">
        <v>97</v>
      </c>
      <c r="E4" s="11"/>
      <c r="F4" s="11"/>
      <c r="G4" s="11"/>
      <c r="H4" s="11"/>
      <c r="I4" s="6">
        <f>SUM(I3:I3)</f>
      </c>
      <c r="J4" s="11"/>
      <c r="K4" s="11"/>
      <c r="L4" s="6">
        <f>SUM(L3:L3)</f>
      </c>
      <c r="M4" s="11"/>
      <c r="N4" s="11"/>
      <c r="O4" s="6">
        <f>SUM(O3:O3)</f>
      </c>
      <c r="P4" s="11"/>
      <c r="Q4" s="11"/>
      <c r="R4" s="6">
        <f>SUM(R3:R3)</f>
      </c>
      <c r="S4" s="11"/>
      <c r="T4" s="11"/>
      <c r="U4" s="6">
        <f>SUM(U3:U3)</f>
      </c>
      <c r="V4" s="11"/>
      <c r="W4" s="11"/>
      <c r="X4" s="6">
        <f>SUM(X3:X3)</f>
      </c>
    </row>
  </sheetData>
  <mergeCells count="8">
    <mergeCell ref="A1:D1"/>
    <mergeCell ref="E1:F1"/>
    <mergeCell ref="G1:I1"/>
    <mergeCell ref="J1:L1"/>
    <mergeCell ref="M1:O1"/>
    <mergeCell ref="P1:R1"/>
    <mergeCell ref="S1:U1"/>
    <mergeCell ref="V1:X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showGridLines="0"/>
  </sheetViews>
  <sheetFormatPr defaultRowHeight="15" outlineLevelRow="0" outlineLevelCol="0" x14ac:dyDescent="55"/>
  <cols>
    <col min="1" max="1" width="18" customWidth="1"/>
    <col min="2" max="8" width="16" customWidth="1"/>
  </cols>
  <sheetData>
    <row r="1" spans="1:8" x14ac:dyDescent="0.25">
      <c r="A1" s="1" t="s">
        <v>99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100</v>
      </c>
      <c r="B2" s="2" t="s">
        <v>101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</row>
    <row r="3" spans="1:8" x14ac:dyDescent="0.25">
      <c r="A3" s="4" t="s">
        <v>102</v>
      </c>
      <c r="B3" s="10"/>
      <c r="C3" s="9" t="s">
        <v>103</v>
      </c>
      <c r="D3" s="9" t="s">
        <v>103</v>
      </c>
      <c r="E3" s="9" t="s">
        <v>103</v>
      </c>
      <c r="F3" s="9" t="s">
        <v>104</v>
      </c>
      <c r="G3" s="9" t="s">
        <v>105</v>
      </c>
      <c r="H3" s="9"/>
    </row>
    <row r="4" spans="1:8" x14ac:dyDescent="0.25">
      <c r="A4" s="4" t="s">
        <v>106</v>
      </c>
      <c r="B4" s="10"/>
      <c r="C4" s="9" t="s">
        <v>103</v>
      </c>
      <c r="D4" s="9" t="s">
        <v>107</v>
      </c>
      <c r="E4" s="9" t="s">
        <v>104</v>
      </c>
      <c r="F4" s="9" t="s">
        <v>104</v>
      </c>
      <c r="G4" s="9" t="s">
        <v>108</v>
      </c>
      <c r="H4" s="9"/>
    </row>
    <row r="5" spans="1:8" x14ac:dyDescent="0.25">
      <c r="A5" s="4" t="s">
        <v>109</v>
      </c>
      <c r="B5" s="10"/>
      <c r="C5" s="9" t="s">
        <v>63</v>
      </c>
      <c r="D5" s="9" t="s">
        <v>88</v>
      </c>
      <c r="E5" s="9" t="s">
        <v>73</v>
      </c>
      <c r="F5" s="9" t="s">
        <v>73</v>
      </c>
      <c r="G5" s="9" t="s">
        <v>73</v>
      </c>
      <c r="H5" s="9"/>
    </row>
    <row r="6" spans="1:8" x14ac:dyDescent="0.25">
      <c r="A6" s="4" t="s">
        <v>110</v>
      </c>
      <c r="B6" s="10"/>
      <c r="C6" s="9" t="s">
        <v>63</v>
      </c>
      <c r="D6" s="9" t="s">
        <v>73</v>
      </c>
      <c r="E6" s="9" t="s">
        <v>73</v>
      </c>
      <c r="F6" s="9" t="s">
        <v>73</v>
      </c>
      <c r="G6" s="9" t="s">
        <v>73</v>
      </c>
      <c r="H6" s="9"/>
    </row>
    <row r="7" spans="1:8" x14ac:dyDescent="0.25">
      <c r="A7" s="4" t="s">
        <v>111</v>
      </c>
      <c r="B7" s="10"/>
      <c r="C7" s="9" t="s">
        <v>78</v>
      </c>
      <c r="D7" s="9" t="s">
        <v>88</v>
      </c>
      <c r="E7" s="9" t="s">
        <v>78</v>
      </c>
      <c r="F7" s="9" t="s">
        <v>88</v>
      </c>
      <c r="G7" s="9" t="s">
        <v>112</v>
      </c>
      <c r="H7" s="9"/>
    </row>
    <row r="9" spans="1:2" x14ac:dyDescent="0.25">
      <c r="A9" s="13" t="s">
        <v>113</v>
      </c>
      <c r="B9" s="13"/>
    </row>
    <row r="10" spans="1:2" x14ac:dyDescent="0.25">
      <c r="A10" s="4" t="s">
        <v>15</v>
      </c>
      <c r="B10" s="6">
        <f>IF($B$3&lt;&gt;"",IF(C3=$B$3,1,0),0)+IF($B$4&lt;&gt;"",IF(C4=$B$4,1,0),0)+IF($B$5&lt;&gt;"",IF(C5=$B$5,1,0),0)+IF($B$6&lt;&gt;"",IF(OR(C6=$B$6,C6=$B$7),1,0),0)+IF($B$7&lt;&gt;"",IF(OR(C7=$B$6,C7=$B$7),1,0),0)</f>
      </c>
    </row>
    <row r="11" spans="1:2" x14ac:dyDescent="0.25">
      <c r="A11" s="4" t="s">
        <v>16</v>
      </c>
      <c r="B11" s="6">
        <f>IF($B$3&lt;&gt;"",IF(D3=$B$3,1,0),0)+IF($B$4&lt;&gt;"",IF(D4=$B$4,1,0),0)+IF($B$5&lt;&gt;"",IF(D5=$B$5,1,0),0)+IF($B$6&lt;&gt;"",IF(OR(D6=$B$6,D6=$B$7),1,0),0)+IF($B$7&lt;&gt;"",IF(OR(D7=$B$6,D7=$B$7),1,0),0)</f>
      </c>
    </row>
    <row r="12" spans="1:2" x14ac:dyDescent="0.25">
      <c r="A12" s="4" t="s">
        <v>17</v>
      </c>
      <c r="B12" s="6">
        <f>IF($B$3&lt;&gt;"",IF(E3=$B$3,1,0),0)+IF($B$4&lt;&gt;"",IF(E4=$B$4,1,0),0)+IF($B$5&lt;&gt;"",IF(E5=$B$5,1,0),0)+IF($B$6&lt;&gt;"",IF(OR(E6=$B$6,E6=$B$7),1,0),0)+IF($B$7&lt;&gt;"",IF(OR(E7=$B$6,E7=$B$7),1,0),0)</f>
      </c>
    </row>
    <row r="13" spans="1:2" x14ac:dyDescent="0.25">
      <c r="A13" s="4" t="s">
        <v>18</v>
      </c>
      <c r="B13" s="6">
        <f>IF($B$3&lt;&gt;"",IF(F3=$B$3,1,0),0)+IF($B$4&lt;&gt;"",IF(F4=$B$4,1,0),0)+IF($B$5&lt;&gt;"",IF(F5=$B$5,1,0),0)+IF($B$6&lt;&gt;"",IF(OR(F6=$B$6,F6=$B$7),1,0),0)+IF($B$7&lt;&gt;"",IF(OR(F7=$B$6,F7=$B$7),1,0),0)</f>
      </c>
    </row>
    <row r="14" spans="1:2" x14ac:dyDescent="0.25">
      <c r="A14" s="4" t="s">
        <v>19</v>
      </c>
      <c r="B14" s="6">
        <f>IF($B$3&lt;&gt;"",IF(G3=$B$3,1,0),0)+IF($B$4&lt;&gt;"",IF(G4=$B$4,1,0),0)+IF($B$5&lt;&gt;"",IF(G5=$B$5,1,0),0)+IF($B$6&lt;&gt;"",IF(OR(G6=$B$6,G6=$B$7),1,0),0)+IF($B$7&lt;&gt;"",IF(OR(G7=$B$6,G7=$B$7),1,0),0)</f>
      </c>
    </row>
    <row r="15" spans="1:2" x14ac:dyDescent="0.25">
      <c r="A15" s="4" t="s">
        <v>20</v>
      </c>
      <c r="B15" s="6">
        <f>IF($B$3&lt;&gt;"",IF(H3=$B$3,1,0),0)+IF($B$4&lt;&gt;"",IF(H4=$B$4,1,0),0)+IF($B$5&lt;&gt;"",IF(H5=$B$5,1,0),0)+IF($B$6&lt;&gt;"",IF(OR(H6=$B$6,H6=$B$7),1,0),0)+IF($B$7&lt;&gt;"",IF(OR(H7=$B$6,H7=$B$7),1,0),0)</f>
      </c>
    </row>
  </sheetData>
  <mergeCells count="2">
    <mergeCell ref="A1:H1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workbookViewId="0" showGridLines="0"/>
  </sheetViews>
  <sheetFormatPr defaultRowHeight="15" outlineLevelRow="0" outlineLevelCol="0" x14ac:dyDescent="55"/>
  <cols>
    <col min="1" max="1" width="80" customWidth="1"/>
  </cols>
  <sheetData>
    <row r="1" spans="1:1" x14ac:dyDescent="0.25">
      <c r="A1" s="14" t="s">
        <v>114</v>
      </c>
    </row>
    <row r="2" spans="1:1" x14ac:dyDescent="0.25">
      <c r="A2" t="s">
        <v>98</v>
      </c>
    </row>
    <row r="3" spans="1:1" x14ac:dyDescent="0.25">
      <c r="A3" s="7" t="s">
        <v>115</v>
      </c>
    </row>
    <row r="4" spans="1:1" x14ac:dyDescent="0.25">
      <c r="A4" t="s">
        <v>116</v>
      </c>
    </row>
    <row r="5" spans="1:1" x14ac:dyDescent="0.25">
      <c r="A5" t="s">
        <v>117</v>
      </c>
    </row>
    <row r="6" spans="1:1" x14ac:dyDescent="0.25">
      <c r="A6" t="s">
        <v>118</v>
      </c>
    </row>
    <row r="7" spans="1:1" x14ac:dyDescent="0.25">
      <c r="A7" t="s">
        <v>119</v>
      </c>
    </row>
    <row r="8" spans="1:1" x14ac:dyDescent="0.25">
      <c r="A8" t="s">
        <v>98</v>
      </c>
    </row>
    <row r="9" spans="1:1" x14ac:dyDescent="0.25">
      <c r="A9" s="7" t="s">
        <v>120</v>
      </c>
    </row>
    <row r="10" spans="1:1" x14ac:dyDescent="0.25">
      <c r="A10" t="s">
        <v>121</v>
      </c>
    </row>
    <row r="11" spans="1:1" x14ac:dyDescent="0.25">
      <c r="A11" t="s">
        <v>122</v>
      </c>
    </row>
    <row r="12" spans="1:1" x14ac:dyDescent="0.25">
      <c r="A12" t="s">
        <v>123</v>
      </c>
    </row>
    <row r="13" spans="1:1" x14ac:dyDescent="0.25">
      <c r="A13" t="s">
        <v>98</v>
      </c>
    </row>
    <row r="14" spans="1:1" x14ac:dyDescent="0.25">
      <c r="A14" s="7" t="s">
        <v>124</v>
      </c>
    </row>
    <row r="15" spans="1:1" x14ac:dyDescent="0.25">
      <c r="A15" t="s">
        <v>125</v>
      </c>
    </row>
    <row r="16" spans="1:1" x14ac:dyDescent="0.25">
      <c r="A16" t="s">
        <v>98</v>
      </c>
    </row>
    <row r="17" spans="1:1" x14ac:dyDescent="0.25">
      <c r="A17" s="7" t="s">
        <v>126</v>
      </c>
    </row>
    <row r="18" spans="1:1" x14ac:dyDescent="0.25">
      <c r="A18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Clasificación</vt:lpstr>
      <vt:lpstr>Jornada 1</vt:lpstr>
      <vt:lpstr>Jornada 2</vt:lpstr>
      <vt:lpstr>Jornada 3</vt:lpstr>
      <vt:lpstr>32avos</vt:lpstr>
      <vt:lpstr>octavos</vt:lpstr>
      <vt:lpstr>cuartos</vt:lpstr>
      <vt:lpstr>semis</vt:lpstr>
      <vt:lpstr>final</vt:lpstr>
      <vt:lpstr>Apuestas Extra</vt:lpstr>
      <vt:lpstr>LÉEME (admin)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2026-07-20T15:02:09Z</dcterms:created>
  <dcterms:modified xsi:type="dcterms:W3CDTF">2026-07-20T15:02:09Z</dcterms:modified>
</cp:coreProperties>
</file>